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tportugal-my.sharepoint.com/personal/leandro-e-silva_telecom_pt/Documents/Documentos/"/>
    </mc:Choice>
  </mc:AlternateContent>
  <xr:revisionPtr revIDLastSave="2021" documentId="8_{222B81CA-87A9-4B49-BE94-94A4A86AD46B}" xr6:coauthVersionLast="47" xr6:coauthVersionMax="47" xr10:uidLastSave="{7423A3DA-9756-4540-A6F2-87BD232E7347}"/>
  <workbookProtection workbookAlgorithmName="SHA-512" workbookHashValue="euA4nF4eNvBWYENmVhosnCg3+yYic5flk+fmUGV+D30PF9jdGZfhnh3HzSz85WeNetYjjgYAf3kf78YcNC16qg==" workbookSaltValue="1F+n9/2Q6Pbwa7EHPORtOg==" workbookSpinCount="100000" lockStructure="1"/>
  <bookViews>
    <workbookView xWindow="-108" yWindow="-108" windowWidth="23256" windowHeight="12456" activeTab="4" xr2:uid="{00000000-000D-0000-FFFF-FFFF00000000}"/>
  </bookViews>
  <sheets>
    <sheet name="Misc." sheetId="1" r:id="rId1"/>
    <sheet name="Core_mCPU" sheetId="2" r:id="rId2"/>
    <sheet name="Memory_MB" sheetId="3" r:id="rId3"/>
    <sheet name="Throttle_%" sheetId="4" r:id="rId4"/>
    <sheet name="Regression" sheetId="5" r:id="rId5"/>
    <sheet name="Compare" sheetId="6" r:id="rId6"/>
  </sheets>
  <externalReferences>
    <externalReference r:id="rId7"/>
    <externalReference r:id="rId8"/>
  </externalReferenc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C11" i="6"/>
  <c r="C10" i="6"/>
  <c r="I72" i="4"/>
  <c r="H72" i="4"/>
  <c r="G72" i="4"/>
  <c r="F72" i="4"/>
  <c r="E72" i="4"/>
  <c r="D72" i="4"/>
  <c r="C72" i="4"/>
  <c r="I71" i="4"/>
  <c r="H71" i="4"/>
  <c r="G71" i="4"/>
  <c r="F71" i="4"/>
  <c r="E71" i="4"/>
  <c r="D71" i="4"/>
  <c r="C71" i="4"/>
  <c r="I70" i="4"/>
  <c r="H70" i="4"/>
  <c r="G70" i="4"/>
  <c r="F70" i="4"/>
  <c r="E70" i="4"/>
  <c r="D70" i="4"/>
  <c r="C70" i="4"/>
  <c r="I69" i="4"/>
  <c r="H69" i="4"/>
  <c r="G69" i="4"/>
  <c r="F69" i="4"/>
  <c r="E69" i="4"/>
  <c r="D69" i="4"/>
  <c r="C69" i="4"/>
  <c r="I68" i="4"/>
  <c r="H68" i="4"/>
  <c r="G68" i="4"/>
  <c r="F68" i="4"/>
  <c r="E68" i="4"/>
  <c r="D68" i="4"/>
  <c r="C68" i="4"/>
  <c r="I67" i="4"/>
  <c r="H67" i="4"/>
  <c r="G67" i="4"/>
  <c r="F67" i="4"/>
  <c r="E67" i="4"/>
  <c r="D67" i="4"/>
  <c r="C67" i="4"/>
  <c r="I66" i="4"/>
  <c r="H66" i="4"/>
  <c r="G66" i="4"/>
  <c r="F66" i="4"/>
  <c r="E66" i="4"/>
  <c r="D66" i="4"/>
  <c r="C66" i="4"/>
  <c r="I65" i="4"/>
  <c r="H65" i="4"/>
  <c r="G65" i="4"/>
  <c r="F65" i="4"/>
  <c r="E65" i="4"/>
  <c r="D65" i="4"/>
  <c r="C65" i="4"/>
  <c r="I64" i="4"/>
  <c r="H64" i="4"/>
  <c r="G64" i="4"/>
  <c r="F64" i="4"/>
  <c r="E64" i="4"/>
  <c r="D64" i="4"/>
  <c r="C64" i="4"/>
  <c r="I63" i="4"/>
  <c r="H63" i="4"/>
  <c r="G63" i="4"/>
  <c r="F63" i="4"/>
  <c r="E63" i="4"/>
  <c r="D63" i="4"/>
  <c r="C63" i="4"/>
  <c r="I62" i="4"/>
  <c r="H62" i="4"/>
  <c r="G62" i="4"/>
  <c r="F62" i="4"/>
  <c r="E62" i="4"/>
  <c r="D62" i="4"/>
  <c r="C62" i="4"/>
  <c r="L2" i="1"/>
  <c r="H2" i="1" s="1"/>
  <c r="L3" i="1"/>
  <c r="H3" i="1" s="1"/>
  <c r="L4" i="1"/>
  <c r="H4" i="1" s="1"/>
  <c r="L5" i="1"/>
  <c r="H5" i="1" s="1"/>
  <c r="L6" i="1"/>
  <c r="H6" i="1" s="1"/>
  <c r="L7" i="1"/>
  <c r="H7" i="1" s="1"/>
  <c r="L8" i="1"/>
  <c r="H8" i="1" s="1"/>
  <c r="L9" i="1"/>
  <c r="H9" i="1" s="1"/>
  <c r="L10" i="1"/>
  <c r="H10" i="1" s="1"/>
  <c r="L11" i="1"/>
  <c r="H11" i="1" s="1"/>
  <c r="L12" i="1"/>
  <c r="H12" i="1" s="1"/>
  <c r="L13" i="1"/>
  <c r="H13" i="1" s="1"/>
  <c r="L14" i="1"/>
  <c r="H14" i="1" s="1"/>
  <c r="L15" i="1"/>
  <c r="H15" i="1" s="1"/>
  <c r="L16" i="1"/>
  <c r="H16" i="1" s="1"/>
  <c r="L17" i="1"/>
  <c r="H17" i="1" s="1"/>
  <c r="L18" i="1"/>
  <c r="H18" i="1" s="1"/>
  <c r="L19" i="1"/>
  <c r="H19" i="1" s="1"/>
  <c r="L20" i="1"/>
  <c r="H20" i="1" s="1"/>
  <c r="L21" i="1"/>
  <c r="H21" i="1" s="1"/>
  <c r="L22" i="1"/>
  <c r="H22" i="1" s="1"/>
  <c r="L23" i="1"/>
  <c r="H23" i="1" s="1"/>
  <c r="L24" i="1"/>
  <c r="H24" i="1" s="1"/>
  <c r="L25" i="1"/>
  <c r="H25" i="1" s="1"/>
  <c r="L26" i="1"/>
  <c r="H26" i="1" s="1"/>
  <c r="L27" i="1"/>
  <c r="H27" i="1" s="1"/>
  <c r="L28" i="1"/>
  <c r="H28" i="1" s="1"/>
  <c r="L29" i="1"/>
  <c r="H29" i="1" s="1"/>
  <c r="L30" i="1"/>
  <c r="H30" i="1" s="1"/>
  <c r="L31" i="1"/>
  <c r="H31" i="1" s="1"/>
  <c r="L32" i="1"/>
  <c r="H32" i="1" s="1"/>
  <c r="L33" i="1"/>
  <c r="H33" i="1" s="1"/>
  <c r="L34" i="1"/>
  <c r="H34" i="1" s="1"/>
  <c r="L35" i="1"/>
  <c r="H35" i="1" s="1"/>
  <c r="L36" i="1"/>
  <c r="H36" i="1" s="1"/>
  <c r="L37" i="1"/>
  <c r="H37" i="1" s="1"/>
  <c r="L38" i="1"/>
  <c r="H38" i="1" s="1"/>
  <c r="L39" i="1"/>
  <c r="H39" i="1" s="1"/>
  <c r="L40" i="1"/>
  <c r="H40" i="1" s="1"/>
  <c r="L41" i="1"/>
  <c r="H41" i="1" s="1"/>
  <c r="L42" i="1"/>
  <c r="H42" i="1" s="1"/>
  <c r="L43" i="1"/>
  <c r="H43" i="1" s="1"/>
  <c r="L44" i="1"/>
  <c r="H44" i="1" s="1"/>
  <c r="L45" i="1"/>
  <c r="H45" i="1" s="1"/>
  <c r="L46" i="1"/>
  <c r="H46" i="1" s="1"/>
  <c r="L47" i="1"/>
  <c r="H47" i="1" s="1"/>
  <c r="L48" i="1"/>
  <c r="H48" i="1" s="1"/>
  <c r="L49" i="1"/>
  <c r="H49" i="1" s="1"/>
  <c r="L50" i="1"/>
  <c r="H50" i="1" s="1"/>
  <c r="L51" i="1"/>
  <c r="H51" i="1" s="1"/>
  <c r="L52" i="1"/>
  <c r="H52" i="1" s="1"/>
  <c r="L53" i="1"/>
  <c r="H53" i="1" s="1"/>
  <c r="L54" i="1"/>
  <c r="H54" i="1" s="1"/>
  <c r="L55" i="1"/>
  <c r="H55" i="1" s="1"/>
  <c r="L56" i="1"/>
  <c r="H56" i="1" s="1"/>
  <c r="L57" i="1"/>
  <c r="H57" i="1" s="1"/>
  <c r="L58" i="1"/>
  <c r="H58" i="1" s="1"/>
  <c r="L59" i="1"/>
  <c r="H59" i="1" s="1"/>
  <c r="L60" i="1"/>
  <c r="H60" i="1" s="1"/>
  <c r="L61" i="1"/>
  <c r="H61" i="1" s="1"/>
  <c r="L73" i="1"/>
  <c r="H73" i="1" s="1"/>
  <c r="L74" i="1"/>
  <c r="H74" i="1" s="1"/>
  <c r="L75" i="1"/>
  <c r="H75" i="1" s="1"/>
  <c r="L76" i="1"/>
  <c r="H76" i="1" s="1"/>
  <c r="L77" i="1"/>
  <c r="H77" i="1" s="1"/>
  <c r="L78" i="1"/>
  <c r="H78" i="1" s="1"/>
  <c r="L79" i="1"/>
  <c r="H79" i="1" s="1"/>
  <c r="L80" i="1"/>
  <c r="H80" i="1" s="1"/>
  <c r="L81" i="1"/>
  <c r="H81" i="1" s="1"/>
  <c r="L82" i="1"/>
  <c r="H82" i="1" s="1"/>
  <c r="L83" i="1"/>
  <c r="H83" i="1" s="1"/>
  <c r="L84" i="1"/>
  <c r="H84" i="1" s="1"/>
  <c r="L85" i="1"/>
  <c r="H85" i="1" s="1"/>
  <c r="L86" i="1"/>
  <c r="H86" i="1" s="1"/>
  <c r="L87" i="1"/>
  <c r="H87" i="1" s="1"/>
  <c r="L88" i="1"/>
  <c r="H88" i="1" s="1"/>
  <c r="L89" i="1"/>
  <c r="H89" i="1" s="1"/>
  <c r="L90" i="1"/>
  <c r="H90" i="1" s="1"/>
  <c r="L91" i="1"/>
  <c r="H91" i="1" s="1"/>
  <c r="L92" i="1"/>
  <c r="H92" i="1" s="1"/>
  <c r="L93" i="1"/>
  <c r="H93" i="1" s="1"/>
  <c r="L94" i="1"/>
  <c r="H94" i="1" s="1"/>
  <c r="L95" i="1"/>
  <c r="H95" i="1" s="1"/>
  <c r="L96" i="1"/>
  <c r="H96" i="1" s="1"/>
  <c r="L97" i="1"/>
  <c r="H97" i="1" s="1"/>
  <c r="L98" i="1"/>
  <c r="H98" i="1" s="1"/>
  <c r="L99" i="1"/>
  <c r="H99" i="1" s="1"/>
  <c r="L100" i="1"/>
  <c r="H100" i="1" s="1"/>
  <c r="L101" i="1"/>
  <c r="H101" i="1" s="1"/>
  <c r="L102" i="1"/>
  <c r="H102" i="1" s="1"/>
  <c r="L103" i="1"/>
  <c r="H103" i="1" s="1"/>
  <c r="L104" i="1"/>
  <c r="H104" i="1" s="1"/>
  <c r="L105" i="1"/>
  <c r="H105" i="1" s="1"/>
  <c r="L106" i="1"/>
  <c r="H106" i="1" s="1"/>
  <c r="L107" i="1"/>
  <c r="H107" i="1" s="1"/>
  <c r="L108" i="1"/>
  <c r="H108" i="1" s="1"/>
  <c r="L109" i="1"/>
  <c r="H109" i="1" s="1"/>
  <c r="L110" i="1"/>
  <c r="H110" i="1" s="1"/>
  <c r="L111" i="1"/>
  <c r="H111" i="1" s="1"/>
  <c r="L112" i="1"/>
  <c r="H112" i="1" s="1"/>
  <c r="L113" i="1"/>
  <c r="H113" i="1" s="1"/>
  <c r="L114" i="1"/>
  <c r="H114" i="1" s="1"/>
  <c r="L115" i="1"/>
  <c r="H115" i="1" s="1"/>
  <c r="L116" i="1"/>
  <c r="H116" i="1" s="1"/>
  <c r="L117" i="1"/>
  <c r="H117" i="1" s="1"/>
  <c r="L118" i="1"/>
  <c r="H118" i="1" s="1"/>
  <c r="L119" i="1"/>
  <c r="H119" i="1" s="1"/>
  <c r="L120" i="1"/>
  <c r="H120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3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2" i="1"/>
  <c r="L66" i="1" l="1"/>
  <c r="H66" i="1" s="1"/>
  <c r="L62" i="1"/>
  <c r="H62" i="1" s="1"/>
  <c r="L64" i="1"/>
  <c r="H64" i="1" s="1"/>
  <c r="L71" i="1"/>
  <c r="H71" i="1" s="1"/>
  <c r="L69" i="1"/>
  <c r="H69" i="1" s="1"/>
  <c r="L67" i="1"/>
  <c r="H67" i="1" s="1"/>
  <c r="L65" i="1"/>
  <c r="H65" i="1" s="1"/>
  <c r="L70" i="1"/>
  <c r="H70" i="1" s="1"/>
  <c r="L63" i="1"/>
  <c r="H63" i="1" s="1"/>
  <c r="L72" i="1"/>
  <c r="H72" i="1" s="1"/>
  <c r="L68" i="1"/>
  <c r="H68" i="1" s="1"/>
</calcChain>
</file>

<file path=xl/sharedStrings.xml><?xml version="1.0" encoding="utf-8"?>
<sst xmlns="http://schemas.openxmlformats.org/spreadsheetml/2006/main" count="4906" uniqueCount="223">
  <si>
    <t>RunID</t>
  </si>
  <si>
    <t>RunDate</t>
  </si>
  <si>
    <t>Scenario</t>
  </si>
  <si>
    <t>Exagon_ver</t>
  </si>
  <si>
    <t>uSrvA_ver</t>
  </si>
  <si>
    <t>uSrvB_ver</t>
  </si>
  <si>
    <t>uSrvC_ver</t>
  </si>
  <si>
    <t>Saturated</t>
  </si>
  <si>
    <t>Target_TPS</t>
  </si>
  <si>
    <t>Effective_TPS</t>
  </si>
  <si>
    <t>Error_%</t>
  </si>
  <si>
    <t>Throt_max_%</t>
  </si>
  <si>
    <t>Throt_max_pod</t>
  </si>
  <si>
    <t>Core_sum_mCPU</t>
  </si>
  <si>
    <t>Lat_avg_ms</t>
  </si>
  <si>
    <t>Saga Simples</t>
  </si>
  <si>
    <t>3.12.0-rc23</t>
  </si>
  <si>
    <t>RW/RO Consistent</t>
  </si>
  <si>
    <t>RW/RO CacheNone</t>
  </si>
  <si>
    <t>RW/RO Optimized KVS</t>
  </si>
  <si>
    <t>RW/RO Optimized Heap</t>
  </si>
  <si>
    <t>Parallel Command</t>
  </si>
  <si>
    <t>im</t>
  </si>
  <si>
    <t>kafka</t>
  </si>
  <si>
    <t>orch-a</t>
  </si>
  <si>
    <t>part-b</t>
  </si>
  <si>
    <t>part-c</t>
  </si>
  <si>
    <t>rf</t>
  </si>
  <si>
    <t>mongo</t>
  </si>
  <si>
    <t>redis</t>
  </si>
  <si>
    <t>kafka-0</t>
  </si>
  <si>
    <t>kafka-1</t>
  </si>
  <si>
    <t>kafka-2</t>
  </si>
  <si>
    <t>orch-a-0</t>
  </si>
  <si>
    <t>orch-a-1</t>
  </si>
  <si>
    <t>part-b-0</t>
  </si>
  <si>
    <t>part-c-0</t>
  </si>
  <si>
    <t>rf-a-0</t>
  </si>
  <si>
    <t>rf-b-0</t>
  </si>
  <si>
    <t>rf-c-0</t>
  </si>
  <si>
    <t>mongo-a-0</t>
  </si>
  <si>
    <t>mongo-a-1</t>
  </si>
  <si>
    <t>mongo-b-0</t>
  </si>
  <si>
    <t>mongo-b-1</t>
  </si>
  <si>
    <t>mongo-c-0</t>
  </si>
  <si>
    <t>mongo-c-1</t>
  </si>
  <si>
    <t>redis-a-0</t>
  </si>
  <si>
    <t>redis-a-1</t>
  </si>
  <si>
    <t>redis-b-0</t>
  </si>
  <si>
    <t>redis-b-1</t>
  </si>
  <si>
    <t>redis-c-0</t>
  </si>
  <si>
    <t>redis-c-1</t>
  </si>
  <si>
    <t>-</t>
  </si>
  <si>
    <t>TestID</t>
  </si>
  <si>
    <t>R2</t>
  </si>
  <si>
    <t>8/11</t>
  </si>
  <si>
    <t>xMaximum</t>
  </si>
  <si>
    <t>Avg Latency (ms)</t>
  </si>
  <si>
    <t>Max Throttling (%)</t>
  </si>
  <si>
    <t>latencyMaximum</t>
  </si>
  <si>
    <t>throttlingMaximum</t>
  </si>
  <si>
    <t>cpuMaximum</t>
  </si>
  <si>
    <t>get_by_prefix_1-6.3.0-528,133,73-1-202606200213</t>
  </si>
  <si>
    <t>GetByPrefix 1</t>
  </si>
  <si>
    <t>dev-6.3.0-SNAPSHOT</t>
  </si>
  <si>
    <t>3.13.0-rc528</t>
  </si>
  <si>
    <t>3.13.0-rc133</t>
  </si>
  <si>
    <t>3.13.0-rc73</t>
  </si>
  <si>
    <t>get_by_prefix_1-6.3.0-528,133,73-300-202606200235</t>
  </si>
  <si>
    <t>get_by_prefix_1-6.3.0-528,133,73-600-202606200257</t>
  </si>
  <si>
    <t>get_by_prefix_1-6.3.0-528,133,73-900-202606200320</t>
  </si>
  <si>
    <t>get_by_prefix_1-6.3.0-528,133,73-1200-202606200342</t>
  </si>
  <si>
    <t>get_by_prefix_1-6.3.0-528,133,73-1500-202606200404</t>
  </si>
  <si>
    <t>get_by_prefix_1-6.3.0-528,133,73-1800-202606200426</t>
  </si>
  <si>
    <t>get_by_prefix_1-6.3.0-528,133,73-2100-202606200448</t>
  </si>
  <si>
    <t>get_by_prefix_1-6.3.0-528,133,73-2400-202606200511</t>
  </si>
  <si>
    <t>get_by_prefix_1-6.3.0-528,133,73-2700-202606200532</t>
  </si>
  <si>
    <t>get_by_prefix_1-6.3.0-528,133,73-3000-202606200555</t>
  </si>
  <si>
    <t>get_by_prefix_27-6.3.0-528,133,73-1-202606200832</t>
  </si>
  <si>
    <t>GetByPrefix 27</t>
  </si>
  <si>
    <t>get_by_prefix_27-6.3.0-528,133,73-300-202606192249</t>
  </si>
  <si>
    <t>get_by_prefix_27-6.3.0-528,133,73-600-202606192311</t>
  </si>
  <si>
    <t>get_by_prefix_27-6.3.0-528,133,73-900-202606200854</t>
  </si>
  <si>
    <t>get_by_prefix_27-6.3.0-528,133,73-1200-202606192338</t>
  </si>
  <si>
    <t>get_by_prefix_27-6.3.0-528,133,73-1500-202606200000</t>
  </si>
  <si>
    <t>get_by_prefix_27-6.3.0-528,133,73-1800-202606200022</t>
  </si>
  <si>
    <t>get_by_prefix_27-6.3.0-528,133,73-2100-202606200045</t>
  </si>
  <si>
    <t>get_by_prefix_27-6.3.0-528,133,73-2400-202606200107</t>
  </si>
  <si>
    <t>get_by_prefix_27-6.3.0-528,133,73-2700-202606200129</t>
  </si>
  <si>
    <t>get_by_prefix_27-6.3.0-528,133,73-3000-202606200151</t>
  </si>
  <si>
    <t>get_by_prefix_703-6.3.0-528,133,73-1-202606191838</t>
  </si>
  <si>
    <t>GetByPrefix 703</t>
  </si>
  <si>
    <t>get_by_prefix_703-6.3.0-528,133,73-300-202606191901</t>
  </si>
  <si>
    <t>get_by_prefix_703-6.3.0-528,133,73-600-202606191924</t>
  </si>
  <si>
    <t>get_by_prefix_703-6.3.0-528,133,73-900-202606191946</t>
  </si>
  <si>
    <t>get_by_prefix_703-6.3.0-528,133,73-1200-202606192009</t>
  </si>
  <si>
    <t>get_by_prefix_703-6.3.0-528,133,73-1500-202606192031</t>
  </si>
  <si>
    <t>get_by_prefix_703-6.3.0-528,133,73-1800-202606192053</t>
  </si>
  <si>
    <t>get_by_prefix_703-6.3.0-528,133,73-2100-202606200045</t>
  </si>
  <si>
    <t>get_by_prefix_703-6.3.0-528,133,73-2400-202606192138</t>
  </si>
  <si>
    <t>get_by_prefix_703-6.3.0-528,133,73-2700-202606192200</t>
  </si>
  <si>
    <t>get_by_prefix_703-6.3.0-528,133,73-3000-202606192222</t>
  </si>
  <si>
    <t>simple-6.3.0-528,133,73-1-202606221857</t>
  </si>
  <si>
    <t>simple-6.3.0-528,133,73-300-202606230202</t>
  </si>
  <si>
    <t>simple-6.3.0-528,133,73-600-202606222236</t>
  </si>
  <si>
    <t>simple-6.3.0-528,133,73-900-202606230259</t>
  </si>
  <si>
    <t>simple-6.3.0-528,133,73-1200-202606222107</t>
  </si>
  <si>
    <t>simple-6.3.0-528,133,73-1500-202606230336</t>
  </si>
  <si>
    <t>simple-6.3.0-528,133,73-1800-202606222322</t>
  </si>
  <si>
    <t>simple-6.3.0-528,133,73-2100-202606230414</t>
  </si>
  <si>
    <t>simple-6.3.0-528,133,73-2400-202606222017</t>
  </si>
  <si>
    <t>simple-6.3.0-528,133,73-2700-202606230452</t>
  </si>
  <si>
    <t>simple-6.3.0-528,133,73-3000-202606230011</t>
  </si>
  <si>
    <t>simple-6.3.0-528,133,73-3300-202606230530</t>
  </si>
  <si>
    <t>simple-6.3.0-528,133,73-3600-202606222153</t>
  </si>
  <si>
    <t>simple-6.3.0-528,133,73-4200-202606230106</t>
  </si>
  <si>
    <t>simple-6.3.0-528,133,73-5000-202606221935</t>
  </si>
  <si>
    <t>choreography-6.3.0-528,133,73-1-202606251843</t>
  </si>
  <si>
    <t>Coreografia</t>
  </si>
  <si>
    <t>choreography-6.3.0-528,133,73-300-202606251927</t>
  </si>
  <si>
    <t>choreography-6.3.0-528,133,73-600-202606252009</t>
  </si>
  <si>
    <t>choreography-6.3.0-528,133,73-900-202606252041</t>
  </si>
  <si>
    <t>choreography-6.3.0-528,133,73-1200-202606252118</t>
  </si>
  <si>
    <t>choreography-6.3.0-528,133,73-1500-202606252201</t>
  </si>
  <si>
    <t>choreography-6.3.0-528,133,73-1800-202606252242</t>
  </si>
  <si>
    <t>choreography-6.3.0-528,133,73-2100-202606252329</t>
  </si>
  <si>
    <t>choreography-6.3.0-528,133,73-2400-202606260007</t>
  </si>
  <si>
    <t>choreography-6.3.0-528,133,73-2700-202606260104</t>
  </si>
  <si>
    <t>choreography-6.3.0-528,133,73-3000-202606261826</t>
  </si>
  <si>
    <t>Base CPU (idle)</t>
  </si>
  <si>
    <t>Marginal CPU (L)</t>
  </si>
  <si>
    <t>Transient overhead (extra)</t>
  </si>
  <si>
    <t>Overhead half-saturation const. (k)</t>
  </si>
  <si>
    <t>Points Fitted/Total</t>
  </si>
  <si>
    <t>choreography-6.3.0-528,133,73</t>
  </si>
  <si>
    <t>11/11</t>
  </si>
  <si>
    <t>get_by_prefix_1-6.3.0-528,133,73</t>
  </si>
  <si>
    <t>get_by_prefix_27-6.3.0-528,133,73</t>
  </si>
  <si>
    <t>get_by_prefix_703-6.3.0-528,133,73</t>
  </si>
  <si>
    <t>5/5</t>
  </si>
  <si>
    <t>simple-6.3.0-528,133,73</t>
  </si>
  <si>
    <t>15/15</t>
  </si>
  <si>
    <t>Cost: CPU(TPS)</t>
  </si>
  <si>
    <t>Efficiency: TPS(CPU)</t>
  </si>
  <si>
    <t>Regression TPS</t>
  </si>
  <si>
    <t>Regression CPU</t>
  </si>
  <si>
    <t>Latency TPS</t>
  </si>
  <si>
    <t>Throttling TPS</t>
  </si>
  <si>
    <t>dev-6.2.0-SNAPSHOT</t>
  </si>
  <si>
    <t>3.12.0-rc476</t>
  </si>
  <si>
    <t>3.12.0-rc82</t>
  </si>
  <si>
    <t>3.12.0-rc506</t>
  </si>
  <si>
    <t>3.12.0-rc112</t>
  </si>
  <si>
    <t>3.12.0-rc52</t>
  </si>
  <si>
    <t>rwro_consistent-6.2.0-506,112,52-1-202605202252</t>
  </si>
  <si>
    <t>rwro_consistent-6.2.0-506,112,52-300-202605210109</t>
  </si>
  <si>
    <t>rwro_consistent-6.2.0-506,112,52-600-202605202315</t>
  </si>
  <si>
    <t>rwro_consistent-6.2.0-506,112,52-900-202605210132</t>
  </si>
  <si>
    <t>rwro_consistent-6.2.0-506,112,52-1200-202605202337</t>
  </si>
  <si>
    <t>rwro_consistent-6.2.0-506,112,52-1500-202605210155</t>
  </si>
  <si>
    <t>rwro_consistent-6.2.0-506,112,52-1800-202605210000</t>
  </si>
  <si>
    <t>rwro_consistent-6.2.0-506,112,52-2100-202605210218</t>
  </si>
  <si>
    <t>rwro_consistent-6.2.0-506,112,52-2400-202605210023</t>
  </si>
  <si>
    <t>rwro_consistent-6.2.0-506,112,52-2700-202605210241</t>
  </si>
  <si>
    <t>rwro_consistent-6.2.0-506,112,52-3000-202605210046</t>
  </si>
  <si>
    <t>rwro_none-6.2.0-506,112,52-1-202605201840</t>
  </si>
  <si>
    <t>rwro_none-6.2.0-506,112,52-300-202605202057</t>
  </si>
  <si>
    <t>rwro_none-6.2.0-506,112,52-600-202605201903</t>
  </si>
  <si>
    <t>rwro_none-6.2.0-506,112,52-900-202605202120</t>
  </si>
  <si>
    <t>rwro_none-6.2.0-506,112,52-1200-202605201926</t>
  </si>
  <si>
    <t>rwro_none-6.2.0-506,112,52-1500-202605202143</t>
  </si>
  <si>
    <t>rwro_none-6.2.0-506,112,52-1800-202605201949</t>
  </si>
  <si>
    <t>rwro_none-6.2.0-506,112,52-2100-202605202206</t>
  </si>
  <si>
    <t>rwro_none-6.2.0-506,112,52-2400-202605202011</t>
  </si>
  <si>
    <t>rwro_none-6.2.0-506,112,52-2700-202605202229</t>
  </si>
  <si>
    <t>rwro_none-6.2.0-506,112,52-3000-202605202034</t>
  </si>
  <si>
    <t>rwro_optimized_kvs-6.2.0-506,112,52-1-202605210304</t>
  </si>
  <si>
    <t>rwro_optimized_kvs-6.2.0-506,112,52-300-202605210521</t>
  </si>
  <si>
    <t>rwro_optimized_kvs-6.2.0-506,112,52-600-202605210327</t>
  </si>
  <si>
    <t>rwro_optimized_kvs-6.2.0-506,112,52-900-202605210544</t>
  </si>
  <si>
    <t>rwro_optimized_kvs-6.2.0-506,112,52-1200-202605210350</t>
  </si>
  <si>
    <t>rwro_optimized_kvs-6.2.0-506,112,52-1500-202605210925</t>
  </si>
  <si>
    <t>rwro_optimized_kvs-6.2.0-506,112,52-1800-202605210413</t>
  </si>
  <si>
    <t>rwro_optimized_kvs-6.2.0-506,112,52-2100-202605210948</t>
  </si>
  <si>
    <t>rwro_optimized_kvs-6.2.0-506,112,52-2400-202605210435</t>
  </si>
  <si>
    <t>rwro_optimized_kvs-6.2.0-506,112,52-2700-202605211011</t>
  </si>
  <si>
    <t>rwro_optimized_kvs-6.2.0-506,112,52-3000-202605210458</t>
  </si>
  <si>
    <t>rwro_optimized_heap-6.2.0-506,112,52-1-202605211034</t>
  </si>
  <si>
    <t>rwro_optimized_heap-6.2.0-506,112,52-300-202605211251</t>
  </si>
  <si>
    <t>rwro_optimized_heap-6.2.0-506,112,52-600-202605211057</t>
  </si>
  <si>
    <t>rwro_optimized_heap-6.2.0-506,112,52-900-202605211314</t>
  </si>
  <si>
    <t>rwro_optimized_heap-6.2.0-506,112,52-1200-202605211119</t>
  </si>
  <si>
    <t>rwro_optimized_heap-6.2.0-506,112,52-1500-202605211337</t>
  </si>
  <si>
    <t>rwro_optimized_heap-6.2.0-506,112,52-1800-202605211142</t>
  </si>
  <si>
    <t>rwro_optimized_heap-6.2.0-506,112,52-2100-202605211400</t>
  </si>
  <si>
    <t>rwro_optimized_heap-6.2.0-506,112,52-2400-202605211205</t>
  </si>
  <si>
    <t>rwro_optimized_heap-6.2.0-506,112,52-2700-202605211423</t>
  </si>
  <si>
    <t>rwro_optimized_heap-6.2.0-506,112,52-3000-202605211228</t>
  </si>
  <si>
    <t>3.13.0-rc523</t>
  </si>
  <si>
    <t>3.13.0-rc127</t>
  </si>
  <si>
    <t>3.13.0-rc67</t>
  </si>
  <si>
    <t>simple-6.2.0-476,82,23-50-202605081142</t>
  </si>
  <si>
    <t>simple-6.2.0-476,82,23-75-202605081207</t>
  </si>
  <si>
    <t>simple-6.2.0-476,82,23-150-202605081232</t>
  </si>
  <si>
    <t>simple-6.2.0-476,82,23-200-202605081502</t>
  </si>
  <si>
    <t>simple-6.2.0-476,82,23-30000-202605190912</t>
  </si>
  <si>
    <t>parallel_command-6.3.0-523,127,67-1-202606070759</t>
  </si>
  <si>
    <t>parallel_command-6.3.0-523,127,67-300-202606070824</t>
  </si>
  <si>
    <t>parallel_command-6.3.0-523,127,67-600-202606070849</t>
  </si>
  <si>
    <t>parallel_command-6.3.0-523,127,67-900-202606070914</t>
  </si>
  <si>
    <t>parallel_command-6.3.0-523,127,67-1200-202606070939</t>
  </si>
  <si>
    <t>parallel_command-6.3.0-523,127,67-1500-202606071005</t>
  </si>
  <si>
    <t>parallel_command-6.3.0-523,127,67-1800-202606071030</t>
  </si>
  <si>
    <t>parallel_command-6.3.0-523,127,67-2100-202606071055</t>
  </si>
  <si>
    <t>parallel_command-6.3.0-523,127,67-2400-202606071120</t>
  </si>
  <si>
    <t>parallel_command-6.3.0-523,127,67-2700-202606071146</t>
  </si>
  <si>
    <t>parallel_command-6.3.0-523,127,67-3000-202606071211</t>
  </si>
  <si>
    <t>parallel_command-6.3.0-523,127,67</t>
  </si>
  <si>
    <t>rwro_none-6.2.0-506,112,52</t>
  </si>
  <si>
    <t>rwro_consistent-6.2.0-506,112,52</t>
  </si>
  <si>
    <t>rwro_optimized_heap-6.2.0-506,112,52</t>
  </si>
  <si>
    <t>rwro_optimized_kvs-6.2.0-506,112,52</t>
  </si>
  <si>
    <t>simple-6.2.0-476,82,23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</si>
</sst>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0\ \T\P\S"/>
    <numFmt numFmtId="167" formatCode="0\ \C\P\U"/>
    <numFmt numFmtId="168" formatCode="0.00\ \C\P\U"/>
    <numFmt numFmtId="169" formatCode="0.00\ \T\P\S"/>
  </numFmts>
  <fonts count="9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8"/>
      <name val="Calibri"/>
      <family val="2"/>
    </font>
    <font>
      <u/>
      <sz val="11"/>
      <color theme="10"/>
      <name val="Calibri"/>
    </font>
    <font>
      <u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1F77B4"/>
        <bgColor indexed="64"/>
      </patternFill>
    </fill>
    <fill>
      <patternFill patternType="solid">
        <fgColor rgb="FFD62728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5" borderId="1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Border="1"/>
    <xf numFmtId="0" fontId="0" fillId="0" borderId="6" xfId="0" applyBorder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49" fontId="5" fillId="0" borderId="0" xfId="0" applyNumberFormat="1" applyFont="1"/>
    <xf numFmtId="0" fontId="6" fillId="0" borderId="0" xfId="1" applyFont="1"/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</cellXfs>
  <cellStyles count="2">
    <cellStyle name="Hiperligação" xfId="1" builtinId="8"/>
    <cellStyle name="Normal" xfId="0" builtinId="0"/>
  </cellStyles>
  <dxfs count="18"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numFmt numFmtId="30" formatCode="@"/>
      <alignment horizontal="right"/>
    </dxf>
    <dxf>
      <numFmt numFmtId="165" formatCode="0.0000"/>
    </dxf>
    <dxf>
      <numFmt numFmtId="2" formatCode="0.00"/>
    </dxf>
    <dxf>
      <numFmt numFmtId="2" formatCode="0.00"/>
    </dxf>
    <dxf>
      <numFmt numFmtId="165" formatCode="0.00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numFmt numFmtId="165" formatCode="0.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Regression formula vs TPS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parallel_command-6.3.0-523,127,67</c:v>
          </c:tx>
          <c:spPr>
            <a:ln w="19050" cap="rnd">
              <a:solidFill>
                <a:srgbClr val="1F77B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Compare!$BI$2:$BI$82</c:f>
              <c:numCache>
                <c:formatCode>General</c:formatCode>
                <c:ptCount val="81"/>
                <c:pt idx="0">
                  <c:v>0</c:v>
                </c:pt>
                <c:pt idx="1">
                  <c:v>62.5</c:v>
                </c:pt>
                <c:pt idx="2">
                  <c:v>125</c:v>
                </c:pt>
                <c:pt idx="3">
                  <c:v>187.5</c:v>
                </c:pt>
                <c:pt idx="4">
                  <c:v>250</c:v>
                </c:pt>
                <c:pt idx="5">
                  <c:v>312.5</c:v>
                </c:pt>
                <c:pt idx="6">
                  <c:v>375</c:v>
                </c:pt>
                <c:pt idx="7">
                  <c:v>437.5</c:v>
                </c:pt>
                <c:pt idx="8">
                  <c:v>500</c:v>
                </c:pt>
                <c:pt idx="9">
                  <c:v>562.5</c:v>
                </c:pt>
                <c:pt idx="10">
                  <c:v>625</c:v>
                </c:pt>
                <c:pt idx="11">
                  <c:v>687.5</c:v>
                </c:pt>
                <c:pt idx="12">
                  <c:v>750</c:v>
                </c:pt>
                <c:pt idx="13">
                  <c:v>812.5</c:v>
                </c:pt>
                <c:pt idx="14">
                  <c:v>875</c:v>
                </c:pt>
                <c:pt idx="15">
                  <c:v>937.5</c:v>
                </c:pt>
                <c:pt idx="16">
                  <c:v>1000</c:v>
                </c:pt>
                <c:pt idx="17">
                  <c:v>1062.5</c:v>
                </c:pt>
                <c:pt idx="18">
                  <c:v>1125</c:v>
                </c:pt>
                <c:pt idx="19">
                  <c:v>1187.5</c:v>
                </c:pt>
                <c:pt idx="20">
                  <c:v>1250</c:v>
                </c:pt>
                <c:pt idx="21">
                  <c:v>1312.5</c:v>
                </c:pt>
                <c:pt idx="22">
                  <c:v>1375</c:v>
                </c:pt>
                <c:pt idx="23">
                  <c:v>1437.5</c:v>
                </c:pt>
                <c:pt idx="24">
                  <c:v>1500</c:v>
                </c:pt>
                <c:pt idx="25">
                  <c:v>1562.5</c:v>
                </c:pt>
                <c:pt idx="26">
                  <c:v>1625</c:v>
                </c:pt>
                <c:pt idx="27">
                  <c:v>1687.5</c:v>
                </c:pt>
                <c:pt idx="28">
                  <c:v>1750</c:v>
                </c:pt>
                <c:pt idx="29">
                  <c:v>1812.5</c:v>
                </c:pt>
                <c:pt idx="30">
                  <c:v>1875</c:v>
                </c:pt>
                <c:pt idx="31">
                  <c:v>1937.5</c:v>
                </c:pt>
                <c:pt idx="32">
                  <c:v>2000</c:v>
                </c:pt>
                <c:pt idx="33">
                  <c:v>2062.5</c:v>
                </c:pt>
                <c:pt idx="34">
                  <c:v>2125</c:v>
                </c:pt>
                <c:pt idx="35">
                  <c:v>2187.5</c:v>
                </c:pt>
                <c:pt idx="36">
                  <c:v>2250</c:v>
                </c:pt>
                <c:pt idx="37">
                  <c:v>2312.5</c:v>
                </c:pt>
                <c:pt idx="38">
                  <c:v>2375</c:v>
                </c:pt>
                <c:pt idx="39">
                  <c:v>2437.5</c:v>
                </c:pt>
                <c:pt idx="40">
                  <c:v>2500</c:v>
                </c:pt>
                <c:pt idx="41">
                  <c:v>2562.5</c:v>
                </c:pt>
                <c:pt idx="42">
                  <c:v>2625</c:v>
                </c:pt>
                <c:pt idx="43">
                  <c:v>2687.5</c:v>
                </c:pt>
                <c:pt idx="44">
                  <c:v>2750</c:v>
                </c:pt>
                <c:pt idx="45">
                  <c:v>2812.5</c:v>
                </c:pt>
                <c:pt idx="46">
                  <c:v>2875</c:v>
                </c:pt>
                <c:pt idx="47">
                  <c:v>2937.5</c:v>
                </c:pt>
                <c:pt idx="48">
                  <c:v>3000</c:v>
                </c:pt>
                <c:pt idx="49">
                  <c:v>3062.5</c:v>
                </c:pt>
                <c:pt idx="50">
                  <c:v>3125</c:v>
                </c:pt>
                <c:pt idx="51">
                  <c:v>3187.5</c:v>
                </c:pt>
                <c:pt idx="52">
                  <c:v>3250</c:v>
                </c:pt>
                <c:pt idx="53">
                  <c:v>3312.5</c:v>
                </c:pt>
                <c:pt idx="54">
                  <c:v>3375</c:v>
                </c:pt>
                <c:pt idx="55">
                  <c:v>3437.5</c:v>
                </c:pt>
                <c:pt idx="56">
                  <c:v>3500</c:v>
                </c:pt>
                <c:pt idx="57">
                  <c:v>3562.5</c:v>
                </c:pt>
                <c:pt idx="58">
                  <c:v>3625</c:v>
                </c:pt>
                <c:pt idx="59">
                  <c:v>3687.5</c:v>
                </c:pt>
                <c:pt idx="60">
                  <c:v>3750</c:v>
                </c:pt>
                <c:pt idx="61">
                  <c:v>3812.5</c:v>
                </c:pt>
                <c:pt idx="62">
                  <c:v>3875</c:v>
                </c:pt>
                <c:pt idx="63">
                  <c:v>3937.5</c:v>
                </c:pt>
                <c:pt idx="64">
                  <c:v>4000</c:v>
                </c:pt>
                <c:pt idx="65">
                  <c:v>4062.5</c:v>
                </c:pt>
                <c:pt idx="66">
                  <c:v>4125</c:v>
                </c:pt>
                <c:pt idx="67">
                  <c:v>4187.5</c:v>
                </c:pt>
                <c:pt idx="68">
                  <c:v>4250</c:v>
                </c:pt>
                <c:pt idx="69">
                  <c:v>4312.5</c:v>
                </c:pt>
                <c:pt idx="70">
                  <c:v>4375</c:v>
                </c:pt>
                <c:pt idx="71">
                  <c:v>4437.5</c:v>
                </c:pt>
                <c:pt idx="72">
                  <c:v>4500</c:v>
                </c:pt>
                <c:pt idx="73">
                  <c:v>4562.5</c:v>
                </c:pt>
                <c:pt idx="74">
                  <c:v>4625</c:v>
                </c:pt>
                <c:pt idx="75">
                  <c:v>4687.5</c:v>
                </c:pt>
                <c:pt idx="76">
                  <c:v>4750</c:v>
                </c:pt>
                <c:pt idx="77">
                  <c:v>4812.5</c:v>
                </c:pt>
                <c:pt idx="78">
                  <c:v>4875</c:v>
                </c:pt>
                <c:pt idx="79">
                  <c:v>4937.5</c:v>
                </c:pt>
                <c:pt idx="80">
                  <c:v>5000</c:v>
                </c:pt>
              </c:numCache>
            </c:numRef>
          </c:xVal>
          <c:yVal>
            <c:numRef>
              <c:f>Compare!$BJ$2:$BJ$82</c:f>
              <c:numCache>
                <c:formatCode>General</c:formatCode>
                <c:ptCount val="81"/>
                <c:pt idx="0">
                  <c:v>970.34966638476499</c:v>
                </c:pt>
                <c:pt idx="1">
                  <c:v>2147.6689332934184</c:v>
                </c:pt>
                <c:pt idx="2">
                  <c:v>2982.3389315960844</c:v>
                </c:pt>
                <c:pt idx="3">
                  <c:v>3624.3990487861488</c:v>
                </c:pt>
                <c:pt idx="4">
                  <c:v>4147.4470338495048</c:v>
                </c:pt>
                <c:pt idx="5">
                  <c:v>4591.8205750523466</c:v>
                </c:pt>
                <c:pt idx="6">
                  <c:v>4981.4785462637583</c:v>
                </c:pt>
                <c:pt idx="7">
                  <c:v>5331.5480224829043</c:v>
                </c:pt>
                <c:pt idx="8">
                  <c:v>5652.0504042108223</c:v>
                </c:pt>
                <c:pt idx="9">
                  <c:v>5949.8878778257895</c:v>
                </c:pt>
                <c:pt idx="10">
                  <c:v>6229.969389214948</c:v>
                </c:pt>
                <c:pt idx="11">
                  <c:v>6495.8817149069891</c:v>
                </c:pt>
                <c:pt idx="12">
                  <c:v>6750.3065189813296</c:v>
                </c:pt>
                <c:pt idx="13">
                  <c:v>6995.2889135212663</c:v>
                </c:pt>
                <c:pt idx="14">
                  <c:v>7232.4157526452827</c:v>
                </c:pt>
                <c:pt idx="15">
                  <c:v>7462.9371786940974</c:v>
                </c:pt>
                <c:pt idx="16">
                  <c:v>7687.8514312117441</c:v>
                </c:pt>
                <c:pt idx="17">
                  <c:v>7907.9652518530629</c:v>
                </c:pt>
                <c:pt idx="18">
                  <c:v>8123.9377030317992</c:v>
                </c:pt>
                <c:pt idx="19">
                  <c:v>8336.3124811753187</c:v>
                </c:pt>
                <c:pt idx="20">
                  <c:v>8545.5421012629795</c:v>
                </c:pt>
                <c:pt idx="21">
                  <c:v>8752.0062423181062</c:v>
                </c:pt>
                <c:pt idx="22">
                  <c:v>8956.0258349541145</c:v>
                </c:pt>
                <c:pt idx="23">
                  <c:v>9157.8740010047113</c:v>
                </c:pt>
                <c:pt idx="24">
                  <c:v>9357.784636422155</c:v>
                </c:pt>
                <c:pt idx="25">
                  <c:v>9555.9592092440453</c:v>
                </c:pt>
                <c:pt idx="26">
                  <c:v>9752.5721911889577</c:v>
                </c:pt>
                <c:pt idx="27">
                  <c:v>9947.7754329045638</c:v>
                </c:pt>
                <c:pt idx="28">
                  <c:v>10141.701715023881</c:v>
                </c:pt>
                <c:pt idx="29">
                  <c:v>10334.4676506502</c:v>
                </c:pt>
                <c:pt idx="30">
                  <c:v>10526.176073387092</c:v>
                </c:pt>
                <c:pt idx="31">
                  <c:v>10716.918014243804</c:v>
                </c:pt>
                <c:pt idx="32">
                  <c:v>10906.774347688784</c:v>
                </c:pt>
                <c:pt idx="33">
                  <c:v>11095.817169697691</c:v>
                </c:pt>
                <c:pt idx="34">
                  <c:v>11284.110957359426</c:v>
                </c:pt>
                <c:pt idx="35">
                  <c:v>11471.713549397893</c:v>
                </c:pt>
                <c:pt idx="36">
                  <c:v>11658.676979066277</c:v>
                </c:pt>
                <c:pt idx="37">
                  <c:v>11845.048184710331</c:v>
                </c:pt>
                <c:pt idx="38">
                  <c:v>12030.869618461704</c:v>
                </c:pt>
                <c:pt idx="39">
                  <c:v>12216.179769702321</c:v>
                </c:pt>
                <c:pt idx="40">
                  <c:v>12401.013616905044</c:v>
                </c:pt>
                <c:pt idx="41">
                  <c:v>12585.403019029012</c:v>
                </c:pt>
                <c:pt idx="42">
                  <c:v>12769.377055697718</c:v>
                </c:pt>
                <c:pt idx="43">
                  <c:v>12952.962323812171</c:v>
                </c:pt>
                <c:pt idx="44">
                  <c:v>13136.183196972092</c:v>
                </c:pt>
                <c:pt idx="45">
                  <c:v>13319.0620530345</c:v>
                </c:pt>
                <c:pt idx="46">
                  <c:v>13501.619474283736</c:v>
                </c:pt>
                <c:pt idx="47">
                  <c:v>13683.874423983165</c:v>
                </c:pt>
                <c:pt idx="48">
                  <c:v>13865.844402497059</c:v>
                </c:pt>
                <c:pt idx="49">
                  <c:v>14047.545585688549</c:v>
                </c:pt>
                <c:pt idx="50">
                  <c:v>14228.992947897503</c:v>
                </c:pt>
                <c:pt idx="51">
                  <c:v>14410.200371466277</c:v>
                </c:pt>
                <c:pt idx="52">
                  <c:v>14591.180744499265</c:v>
                </c:pt>
                <c:pt idx="53">
                  <c:v>14771.946048305055</c:v>
                </c:pt>
                <c:pt idx="54">
                  <c:v>14952.507435769563</c:v>
                </c:pt>
                <c:pt idx="55">
                  <c:v>15132.875301738866</c:v>
                </c:pt>
                <c:pt idx="56">
                  <c:v>15313.059346346261</c:v>
                </c:pt>
                <c:pt idx="57">
                  <c:v>15493.068632095188</c:v>
                </c:pt>
                <c:pt idx="58">
                  <c:v>15672.911635404713</c:v>
                </c:pt>
                <c:pt idx="59">
                  <c:v>15852.596293234295</c:v>
                </c:pt>
                <c:pt idx="60">
                  <c:v>16032.130045327296</c:v>
                </c:pt>
                <c:pt idx="61">
                  <c:v>16211.519872546132</c:v>
                </c:pt>
                <c:pt idx="62">
                  <c:v>16390.772331714557</c:v>
                </c:pt>
                <c:pt idx="63">
                  <c:v>16569.893587332757</c:v>
                </c:pt>
                <c:pt idx="64">
                  <c:v>16748.889440487961</c:v>
                </c:pt>
                <c:pt idx="65">
                  <c:v>16927.765355245632</c:v>
                </c:pt>
                <c:pt idx="66">
                  <c:v>17106.526482773712</c:v>
                </c:pt>
                <c:pt idx="67">
                  <c:v>17285.177683423972</c:v>
                </c:pt>
                <c:pt idx="68">
                  <c:v>17463.723546969384</c:v>
                </c:pt>
                <c:pt idx="69">
                  <c:v>17642.168411174793</c:v>
                </c:pt>
                <c:pt idx="70">
                  <c:v>17820.516378858778</c:v>
                </c:pt>
                <c:pt idx="71">
                  <c:v>17998.771333587902</c:v>
                </c:pt>
                <c:pt idx="72">
                  <c:v>18176.936954129465</c:v>
                </c:pt>
                <c:pt idx="73">
                  <c:v>18355.016727775936</c:v>
                </c:pt>
                <c:pt idx="74">
                  <c:v>18533.013962642406</c:v>
                </c:pt>
                <c:pt idx="75">
                  <c:v>18710.931799028367</c:v>
                </c:pt>
                <c:pt idx="76">
                  <c:v>18888.773219925715</c:v>
                </c:pt>
                <c:pt idx="77">
                  <c:v>19066.54106074696</c:v>
                </c:pt>
                <c:pt idx="78">
                  <c:v>19244.238018340347</c:v>
                </c:pt>
                <c:pt idx="79">
                  <c:v>19421.866659352094</c:v>
                </c:pt>
                <c:pt idx="80">
                  <c:v>19599.429427990246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28-4537-99BE-9C47A86BDF81}"/>
            </c:ext>
          </c:extLst>
        </c:ser>
        <c:ser>
          <c:idx val="2"/>
          <c:order val="1"/>
          <c:tx>
            <c:v>simple-6.3.0-528,133,73</c:v>
          </c:tx>
          <c:spPr>
            <a:ln w="19050" cap="rnd">
              <a:solidFill>
                <a:srgbClr val="D62728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Compare!$BQ$2:$BQ$82</c:f>
              <c:numCache>
                <c:formatCode>General</c:formatCode>
                <c:ptCount val="81"/>
                <c:pt idx="0">
                  <c:v>0</c:v>
                </c:pt>
                <c:pt idx="1">
                  <c:v>62.5</c:v>
                </c:pt>
                <c:pt idx="2">
                  <c:v>125</c:v>
                </c:pt>
                <c:pt idx="3">
                  <c:v>187.5</c:v>
                </c:pt>
                <c:pt idx="4">
                  <c:v>250</c:v>
                </c:pt>
                <c:pt idx="5">
                  <c:v>312.5</c:v>
                </c:pt>
                <c:pt idx="6">
                  <c:v>375</c:v>
                </c:pt>
                <c:pt idx="7">
                  <c:v>437.5</c:v>
                </c:pt>
                <c:pt idx="8">
                  <c:v>500</c:v>
                </c:pt>
                <c:pt idx="9">
                  <c:v>562.5</c:v>
                </c:pt>
                <c:pt idx="10">
                  <c:v>625</c:v>
                </c:pt>
                <c:pt idx="11">
                  <c:v>687.5</c:v>
                </c:pt>
                <c:pt idx="12">
                  <c:v>750</c:v>
                </c:pt>
                <c:pt idx="13">
                  <c:v>812.5</c:v>
                </c:pt>
                <c:pt idx="14">
                  <c:v>875</c:v>
                </c:pt>
                <c:pt idx="15">
                  <c:v>937.5</c:v>
                </c:pt>
                <c:pt idx="16">
                  <c:v>1000</c:v>
                </c:pt>
                <c:pt idx="17">
                  <c:v>1062.5</c:v>
                </c:pt>
                <c:pt idx="18">
                  <c:v>1125</c:v>
                </c:pt>
                <c:pt idx="19">
                  <c:v>1187.5</c:v>
                </c:pt>
                <c:pt idx="20">
                  <c:v>1250</c:v>
                </c:pt>
                <c:pt idx="21">
                  <c:v>1312.5</c:v>
                </c:pt>
                <c:pt idx="22">
                  <c:v>1375</c:v>
                </c:pt>
                <c:pt idx="23">
                  <c:v>1437.5</c:v>
                </c:pt>
                <c:pt idx="24">
                  <c:v>1500</c:v>
                </c:pt>
                <c:pt idx="25">
                  <c:v>1562.5</c:v>
                </c:pt>
                <c:pt idx="26">
                  <c:v>1625</c:v>
                </c:pt>
                <c:pt idx="27">
                  <c:v>1687.5</c:v>
                </c:pt>
                <c:pt idx="28">
                  <c:v>1750</c:v>
                </c:pt>
                <c:pt idx="29">
                  <c:v>1812.5</c:v>
                </c:pt>
                <c:pt idx="30">
                  <c:v>1875</c:v>
                </c:pt>
                <c:pt idx="31">
                  <c:v>1937.5</c:v>
                </c:pt>
                <c:pt idx="32">
                  <c:v>2000</c:v>
                </c:pt>
                <c:pt idx="33">
                  <c:v>2062.5</c:v>
                </c:pt>
                <c:pt idx="34">
                  <c:v>2125</c:v>
                </c:pt>
                <c:pt idx="35">
                  <c:v>2187.5</c:v>
                </c:pt>
                <c:pt idx="36">
                  <c:v>2250</c:v>
                </c:pt>
                <c:pt idx="37">
                  <c:v>2312.5</c:v>
                </c:pt>
                <c:pt idx="38">
                  <c:v>2375</c:v>
                </c:pt>
                <c:pt idx="39">
                  <c:v>2437.5</c:v>
                </c:pt>
                <c:pt idx="40">
                  <c:v>2500</c:v>
                </c:pt>
                <c:pt idx="41">
                  <c:v>2562.5</c:v>
                </c:pt>
                <c:pt idx="42">
                  <c:v>2625</c:v>
                </c:pt>
                <c:pt idx="43">
                  <c:v>2687.5</c:v>
                </c:pt>
                <c:pt idx="44">
                  <c:v>2750</c:v>
                </c:pt>
                <c:pt idx="45">
                  <c:v>2812.5</c:v>
                </c:pt>
                <c:pt idx="46">
                  <c:v>2875</c:v>
                </c:pt>
                <c:pt idx="47">
                  <c:v>2937.5</c:v>
                </c:pt>
                <c:pt idx="48">
                  <c:v>3000</c:v>
                </c:pt>
                <c:pt idx="49">
                  <c:v>3062.5</c:v>
                </c:pt>
                <c:pt idx="50">
                  <c:v>3125</c:v>
                </c:pt>
                <c:pt idx="51">
                  <c:v>3187.5</c:v>
                </c:pt>
                <c:pt idx="52">
                  <c:v>3250</c:v>
                </c:pt>
                <c:pt idx="53">
                  <c:v>3312.5</c:v>
                </c:pt>
                <c:pt idx="54">
                  <c:v>3375</c:v>
                </c:pt>
                <c:pt idx="55">
                  <c:v>3437.5</c:v>
                </c:pt>
                <c:pt idx="56">
                  <c:v>3500</c:v>
                </c:pt>
                <c:pt idx="57">
                  <c:v>3562.5</c:v>
                </c:pt>
                <c:pt idx="58">
                  <c:v>3625</c:v>
                </c:pt>
                <c:pt idx="59">
                  <c:v>3687.5</c:v>
                </c:pt>
                <c:pt idx="60">
                  <c:v>3750</c:v>
                </c:pt>
                <c:pt idx="61">
                  <c:v>3812.5</c:v>
                </c:pt>
                <c:pt idx="62">
                  <c:v>3875</c:v>
                </c:pt>
                <c:pt idx="63">
                  <c:v>3937.5</c:v>
                </c:pt>
                <c:pt idx="64">
                  <c:v>4000</c:v>
                </c:pt>
                <c:pt idx="65">
                  <c:v>4062.5</c:v>
                </c:pt>
                <c:pt idx="66">
                  <c:v>4125</c:v>
                </c:pt>
                <c:pt idx="67">
                  <c:v>4187.5</c:v>
                </c:pt>
                <c:pt idx="68">
                  <c:v>4250</c:v>
                </c:pt>
                <c:pt idx="69">
                  <c:v>4312.5</c:v>
                </c:pt>
                <c:pt idx="70">
                  <c:v>4375</c:v>
                </c:pt>
                <c:pt idx="71">
                  <c:v>4437.5</c:v>
                </c:pt>
                <c:pt idx="72">
                  <c:v>4500</c:v>
                </c:pt>
                <c:pt idx="73">
                  <c:v>4562.5</c:v>
                </c:pt>
                <c:pt idx="74">
                  <c:v>4625</c:v>
                </c:pt>
                <c:pt idx="75">
                  <c:v>4687.5</c:v>
                </c:pt>
                <c:pt idx="76">
                  <c:v>4750</c:v>
                </c:pt>
                <c:pt idx="77">
                  <c:v>4812.5</c:v>
                </c:pt>
                <c:pt idx="78">
                  <c:v>4875</c:v>
                </c:pt>
                <c:pt idx="79">
                  <c:v>4937.5</c:v>
                </c:pt>
                <c:pt idx="80">
                  <c:v>5000</c:v>
                </c:pt>
              </c:numCache>
            </c:numRef>
          </c:xVal>
          <c:yVal>
            <c:numRef>
              <c:f>Compare!$BR$2:$BR$82</c:f>
              <c:numCache>
                <c:formatCode>General</c:formatCode>
                <c:ptCount val="81"/>
                <c:pt idx="0">
                  <c:v>3322.9903332169602</c:v>
                </c:pt>
                <c:pt idx="1">
                  <c:v>3920.3981126459321</c:v>
                </c:pt>
                <c:pt idx="2">
                  <c:v>4472.6023011066854</c:v>
                </c:pt>
                <c:pt idx="3">
                  <c:v>4985.5621268907662</c:v>
                </c:pt>
                <c:pt idx="4">
                  <c:v>5464.2334305230825</c:v>
                </c:pt>
                <c:pt idx="5">
                  <c:v>5912.7713166969534</c:v>
                </c:pt>
                <c:pt idx="6">
                  <c:v>6334.6855981325798</c:v>
                </c:pt>
                <c:pt idx="7">
                  <c:v>6732.961381904679</c:v>
                </c:pt>
                <c:pt idx="8">
                  <c:v>7110.1535890923806</c:v>
                </c:pt>
                <c:pt idx="9">
                  <c:v>7468.4617530012065</c:v>
                </c:pt>
                <c:pt idx="10">
                  <c:v>7809.7897352900873</c:v>
                </c:pt>
                <c:pt idx="11">
                  <c:v>8135.7937926078594</c:v>
                </c:pt>
                <c:pt idx="12">
                  <c:v>8447.9215616106485</c:v>
                </c:pt>
                <c:pt idx="13">
                  <c:v>8747.4439030884278</c:v>
                </c:pt>
                <c:pt idx="14">
                  <c:v>9035.4810859921963</c:v>
                </c:pt>
                <c:pt idx="15">
                  <c:v>9313.0244513146827</c:v>
                </c:pt>
                <c:pt idx="16">
                  <c:v>9580.9544407290232</c:v>
                </c:pt>
                <c:pt idx="17">
                  <c:v>9840.0556822912877</c:v>
                </c:pt>
                <c:pt idx="18">
                  <c:v>10091.029678823914</c:v>
                </c:pt>
                <c:pt idx="19">
                  <c:v>10334.505531972278</c:v>
                </c:pt>
                <c:pt idx="20">
                  <c:v>10571.049047797615</c:v>
                </c:pt>
                <c:pt idx="21">
                  <c:v>10801.170501880737</c:v>
                </c:pt>
                <c:pt idx="22">
                  <c:v>11025.331288654583</c:v>
                </c:pt>
                <c:pt idx="23">
                  <c:v>11243.949637637503</c:v>
                </c:pt>
                <c:pt idx="24">
                  <c:v>11457.405545841222</c:v>
                </c:pt>
                <c:pt idx="25">
                  <c:v>11666.045048945383</c:v>
                </c:pt>
                <c:pt idx="26">
                  <c:v>11870.183932396823</c:v>
                </c:pt>
                <c:pt idx="27">
                  <c:v>12070.110966283499</c:v>
                </c:pt>
                <c:pt idx="28">
                  <c:v>12266.090733786918</c:v>
                </c:pt>
                <c:pt idx="29">
                  <c:v>12458.36611156322</c:v>
                </c:pt>
                <c:pt idx="30">
                  <c:v>12647.160451021515</c:v>
                </c:pt>
                <c:pt idx="31">
                  <c:v>12832.679501749775</c:v>
                </c:pt>
                <c:pt idx="32">
                  <c:v>13015.113111962521</c:v>
                </c:pt>
                <c:pt idx="33">
                  <c:v>13194.636735556278</c:v>
                </c:pt>
                <c:pt idx="34">
                  <c:v>13371.412770955667</c:v>
                </c:pt>
                <c:pt idx="35">
                  <c:v>13545.591753253902</c:v>
                </c:pt>
                <c:pt idx="36">
                  <c:v>13717.313418065973</c:v>
                </c:pt>
                <c:pt idx="37">
                  <c:v>13886.707652916672</c:v>
                </c:pt>
                <c:pt idx="38">
                  <c:v>14053.895349794177</c:v>
                </c:pt>
                <c:pt idx="39">
                  <c:v>14218.989170643792</c:v>
                </c:pt>
                <c:pt idx="40">
                  <c:v>14382.094236000366</c:v>
                </c:pt>
                <c:pt idx="41">
                  <c:v>14543.308745614784</c:v>
                </c:pt>
                <c:pt idx="42">
                  <c:v>14702.724538782975</c:v>
                </c:pt>
                <c:pt idx="43">
                  <c:v>14860.427601103125</c:v>
                </c:pt>
                <c:pt idx="44">
                  <c:v>15016.498523542914</c:v>
                </c:pt>
                <c:pt idx="45">
                  <c:v>15171.012918971921</c:v>
                </c:pt>
                <c:pt idx="46">
                  <c:v>15324.041800687191</c:v>
                </c:pt>
                <c:pt idx="47">
                  <c:v>15475.651926917302</c:v>
                </c:pt>
                <c:pt idx="48">
                  <c:v>15625.906114819758</c:v>
                </c:pt>
                <c:pt idx="49">
                  <c:v>15774.86352707751</c:v>
                </c:pt>
                <c:pt idx="50">
                  <c:v>15922.579933844328</c:v>
                </c:pt>
                <c:pt idx="51">
                  <c:v>16069.107952477698</c:v>
                </c:pt>
                <c:pt idx="52">
                  <c:v>16214.497267226194</c:v>
                </c:pt>
                <c:pt idx="53">
                  <c:v>16358.794830799903</c:v>
                </c:pt>
                <c:pt idx="54">
                  <c:v>16502.045049543311</c:v>
                </c:pt>
                <c:pt idx="55">
                  <c:v>16644.289953746134</c:v>
                </c:pt>
                <c:pt idx="56">
                  <c:v>16785.569354465268</c:v>
                </c:pt>
                <c:pt idx="57">
                  <c:v>16925.920988088117</c:v>
                </c:pt>
                <c:pt idx="58">
                  <c:v>17065.38064974083</c:v>
                </c:pt>
                <c:pt idx="59">
                  <c:v>17203.9823165329</c:v>
                </c:pt>
                <c:pt idx="60">
                  <c:v>17341.758261530202</c:v>
                </c:pt>
                <c:pt idx="61">
                  <c:v>17478.739159260153</c:v>
                </c:pt>
                <c:pt idx="62">
                  <c:v>17614.954183473921</c:v>
                </c:pt>
                <c:pt idx="63">
                  <c:v>17750.431097820765</c:v>
                </c:pt>
                <c:pt idx="64">
                  <c:v>17885.196340026709</c:v>
                </c:pt>
                <c:pt idx="65">
                  <c:v>18019.275100114202</c:v>
                </c:pt>
                <c:pt idx="66">
                  <c:v>18152.691393149056</c:v>
                </c:pt>
                <c:pt idx="67">
                  <c:v>18285.468126956232</c:v>
                </c:pt>
                <c:pt idx="68">
                  <c:v>18417.627165205915</c:v>
                </c:pt>
                <c:pt idx="69">
                  <c:v>18549.189386234822</c:v>
                </c:pt>
                <c:pt idx="70">
                  <c:v>18680.174737935547</c:v>
                </c:pt>
                <c:pt idx="71">
                  <c:v>18810.602289017021</c:v>
                </c:pt>
                <c:pt idx="72">
                  <c:v>18940.490276913097</c:v>
                </c:pt>
                <c:pt idx="73">
                  <c:v>19069.85615259211</c:v>
                </c:pt>
                <c:pt idx="74">
                  <c:v>19198.716622498825</c:v>
                </c:pt>
                <c:pt idx="75">
                  <c:v>19327.087687840616</c:v>
                </c:pt>
                <c:pt idx="76">
                  <c:v>19454.984681412003</c:v>
                </c:pt>
                <c:pt idx="77">
                  <c:v>19582.422302135659</c:v>
                </c:pt>
                <c:pt idx="78">
                  <c:v>19709.414647483398</c:v>
                </c:pt>
                <c:pt idx="79">
                  <c:v>19835.975243927387</c:v>
                </c:pt>
                <c:pt idx="80">
                  <c:v>19962.117075559843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28-4537-99BE-9C47A86B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5615"/>
        <c:axId val="25783375"/>
      </c:scatterChart>
      <c:valAx>
        <c:axId val="25765615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5783375"/>
        <c:crosses val="autoZero"/>
        <c:crossBetween val="midCat"/>
      </c:valAx>
      <c:valAx>
        <c:axId val="25783375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Regression CPU (mCPU)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576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vs TPS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parallel_command-6.3.0-523,127,67</c:v>
          </c:tx>
          <c:spPr>
            <a:ln w="28575" cap="rnd">
              <a:solidFill>
                <a:srgbClr val="1F77B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F77B4"/>
              </a:solidFill>
              <a:ln w="9525">
                <a:solidFill>
                  <a:srgbClr val="1F77B4"/>
                </a:solidFill>
                <a:prstDash val="solid"/>
              </a:ln>
              <a:effectLst/>
            </c:spPr>
          </c:marker>
          <c:xVal>
            <c:numRef>
              <c:f>Compare!$BM$2:$BM$12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Compare!$BN$2:$BN$12</c:f>
              <c:numCache>
                <c:formatCode>General</c:formatCode>
                <c:ptCount val="11"/>
                <c:pt idx="0">
                  <c:v>26.434999999999999</c:v>
                </c:pt>
                <c:pt idx="1">
                  <c:v>22.009438836450901</c:v>
                </c:pt>
                <c:pt idx="2">
                  <c:v>26.655872998236099</c:v>
                </c:pt>
                <c:pt idx="3">
                  <c:v>35.243547601543</c:v>
                </c:pt>
                <c:pt idx="4">
                  <c:v>42.681960236348402</c:v>
                </c:pt>
                <c:pt idx="5">
                  <c:v>53.849791944361399</c:v>
                </c:pt>
                <c:pt idx="6">
                  <c:v>61.261687756447799</c:v>
                </c:pt>
                <c:pt idx="7">
                  <c:v>64.095780146214096</c:v>
                </c:pt>
                <c:pt idx="8">
                  <c:v>65.842557815852103</c:v>
                </c:pt>
                <c:pt idx="9">
                  <c:v>74.799104386782204</c:v>
                </c:pt>
                <c:pt idx="10">
                  <c:v>78.564892343481503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C8-429C-AA49-E9AB97A0518B}"/>
            </c:ext>
          </c:extLst>
        </c:ser>
        <c:ser>
          <c:idx val="2"/>
          <c:order val="1"/>
          <c:tx>
            <c:v>simple-6.3.0-528,133,73</c:v>
          </c:tx>
          <c:spPr>
            <a:ln w="28575" cap="rnd">
              <a:solidFill>
                <a:srgbClr val="D627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62728"/>
              </a:solidFill>
              <a:ln w="9525">
                <a:solidFill>
                  <a:srgbClr val="D62728"/>
                </a:solidFill>
                <a:prstDash val="solid"/>
              </a:ln>
              <a:effectLst/>
            </c:spPr>
          </c:marker>
          <c:xVal>
            <c:numRef>
              <c:f>Compare!$BU$2:$BU$16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Compare!$BV$2:$BV$16</c:f>
              <c:numCache>
                <c:formatCode>General</c:formatCode>
                <c:ptCount val="15"/>
                <c:pt idx="0">
                  <c:v>36.896666666666697</c:v>
                </c:pt>
                <c:pt idx="1">
                  <c:v>26.948238601325599</c:v>
                </c:pt>
                <c:pt idx="2">
                  <c:v>26.516697314985102</c:v>
                </c:pt>
                <c:pt idx="3">
                  <c:v>26.0020592706997</c:v>
                </c:pt>
                <c:pt idx="4">
                  <c:v>26.235484068099801</c:v>
                </c:pt>
                <c:pt idx="5">
                  <c:v>27.168235109790999</c:v>
                </c:pt>
                <c:pt idx="6">
                  <c:v>30.279342599100499</c:v>
                </c:pt>
                <c:pt idx="7">
                  <c:v>33.258443152243998</c:v>
                </c:pt>
                <c:pt idx="8">
                  <c:v>38.101793483915202</c:v>
                </c:pt>
                <c:pt idx="9">
                  <c:v>43.298047977113001</c:v>
                </c:pt>
                <c:pt idx="10">
                  <c:v>45.585986712826397</c:v>
                </c:pt>
                <c:pt idx="11">
                  <c:v>49.969192602740499</c:v>
                </c:pt>
                <c:pt idx="12">
                  <c:v>51.461435345681203</c:v>
                </c:pt>
                <c:pt idx="13">
                  <c:v>53.601333715570298</c:v>
                </c:pt>
                <c:pt idx="14">
                  <c:v>56.939752856179297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8-429C-AA49-E9AB97A0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3071"/>
        <c:axId val="17024911"/>
      </c:scatterChart>
      <c:valAx>
        <c:axId val="17033071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024911"/>
        <c:crosses val="autoZero"/>
        <c:crossBetween val="midCat"/>
      </c:valAx>
      <c:valAx>
        <c:axId val="170249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03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Throttling vs TPS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parallel_command-6.3.0-523,127,67</c:v>
          </c:tx>
          <c:spPr>
            <a:ln w="28575" cap="rnd">
              <a:solidFill>
                <a:srgbClr val="1F77B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F77B4"/>
              </a:solidFill>
              <a:ln w="9525">
                <a:solidFill>
                  <a:srgbClr val="1F77B4"/>
                </a:solidFill>
                <a:prstDash val="solid"/>
              </a:ln>
              <a:effectLst/>
            </c:spPr>
          </c:marker>
          <c:xVal>
            <c:numRef>
              <c:f>Compare!$BO$2:$BO$12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Compare!$BP$2:$BP$12</c:f>
              <c:numCache>
                <c:formatCode>General</c:formatCode>
                <c:ptCount val="11"/>
                <c:pt idx="0">
                  <c:v>11.1760485182007</c:v>
                </c:pt>
                <c:pt idx="1">
                  <c:v>9.5947340158334704</c:v>
                </c:pt>
                <c:pt idx="2">
                  <c:v>9.6689447679883305</c:v>
                </c:pt>
                <c:pt idx="3">
                  <c:v>10.3009412421506</c:v>
                </c:pt>
                <c:pt idx="4">
                  <c:v>9.4155716955346396</c:v>
                </c:pt>
                <c:pt idx="5">
                  <c:v>9.7473749774863006</c:v>
                </c:pt>
                <c:pt idx="6">
                  <c:v>8.9613180148957898</c:v>
                </c:pt>
                <c:pt idx="7">
                  <c:v>9.7080150682687893</c:v>
                </c:pt>
                <c:pt idx="8">
                  <c:v>8.5909132207632108</c:v>
                </c:pt>
                <c:pt idx="9">
                  <c:v>9.7545152579948304</c:v>
                </c:pt>
                <c:pt idx="10">
                  <c:v>9.8080102816541093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A8-400A-BF99-8343C98099DF}"/>
            </c:ext>
          </c:extLst>
        </c:ser>
        <c:ser>
          <c:idx val="2"/>
          <c:order val="1"/>
          <c:tx>
            <c:v>simple-6.3.0-528,133,73</c:v>
          </c:tx>
          <c:spPr>
            <a:ln w="28575" cap="rnd">
              <a:solidFill>
                <a:srgbClr val="D627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62728"/>
              </a:solidFill>
              <a:ln w="9525">
                <a:solidFill>
                  <a:srgbClr val="D62728"/>
                </a:solidFill>
                <a:prstDash val="solid"/>
              </a:ln>
              <a:effectLst/>
            </c:spPr>
          </c:marker>
          <c:xVal>
            <c:numRef>
              <c:f>Compare!$BW$2:$BW$16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Compare!$BX$2:$BX$16</c:f>
              <c:numCache>
                <c:formatCode>General</c:formatCode>
                <c:ptCount val="15"/>
                <c:pt idx="0">
                  <c:v>10.5075747816235</c:v>
                </c:pt>
                <c:pt idx="1">
                  <c:v>9.1263693846390002</c:v>
                </c:pt>
                <c:pt idx="2">
                  <c:v>10.5255480389587</c:v>
                </c:pt>
                <c:pt idx="3">
                  <c:v>9.5931623092489993</c:v>
                </c:pt>
                <c:pt idx="4">
                  <c:v>9.5909607291029992</c:v>
                </c:pt>
                <c:pt idx="5">
                  <c:v>9.4233297852357403</c:v>
                </c:pt>
                <c:pt idx="6">
                  <c:v>10.392177845952199</c:v>
                </c:pt>
                <c:pt idx="7">
                  <c:v>10.6834059959842</c:v>
                </c:pt>
                <c:pt idx="8">
                  <c:v>9.2900330592109306</c:v>
                </c:pt>
                <c:pt idx="9">
                  <c:v>10.8412939881838</c:v>
                </c:pt>
                <c:pt idx="10">
                  <c:v>10.1721957829897</c:v>
                </c:pt>
                <c:pt idx="11">
                  <c:v>9.9055366430771503</c:v>
                </c:pt>
                <c:pt idx="12">
                  <c:v>9.6539941057404892</c:v>
                </c:pt>
                <c:pt idx="13">
                  <c:v>10.2830283149208</c:v>
                </c:pt>
                <c:pt idx="14">
                  <c:v>9.6113687430992307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A8-400A-BF99-8343C9809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744607"/>
        <c:axId val="461745567"/>
      </c:scatterChart>
      <c:valAx>
        <c:axId val="46174460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1745567"/>
        <c:crosses val="autoZero"/>
        <c:crossBetween val="midCat"/>
      </c:valAx>
      <c:valAx>
        <c:axId val="461745567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Max Throttling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174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parallel_command-6.3.0-523,127,67 - cumulative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Compare!$AF$1</c:f>
              <c:strCache>
                <c:ptCount val="1"/>
                <c:pt idx="0">
                  <c:v>im</c:v>
                </c:pt>
              </c:strCache>
            </c:strRef>
          </c:tx>
          <c:spPr>
            <a:ln w="22225" cap="rnd">
              <a:solidFill>
                <a:srgbClr val="4E79A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E6186"/>
              </a:solidFill>
              <a:ln w="9525">
                <a:solidFill>
                  <a:srgbClr val="3E6186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Compare!$AF$2:$AF$12</c:f>
              <c:numCache>
                <c:formatCode>General</c:formatCode>
                <c:ptCount val="11"/>
                <c:pt idx="0">
                  <c:v>10.590481441913299</c:v>
                </c:pt>
                <c:pt idx="1">
                  <c:v>125.60245381952799</c:v>
                </c:pt>
                <c:pt idx="2">
                  <c:v>170.013611229264</c:v>
                </c:pt>
                <c:pt idx="3">
                  <c:v>208.997596576587</c:v>
                </c:pt>
                <c:pt idx="4">
                  <c:v>261.27210576015102</c:v>
                </c:pt>
                <c:pt idx="5">
                  <c:v>305.20732864060699</c:v>
                </c:pt>
                <c:pt idx="6">
                  <c:v>347.127532571887</c:v>
                </c:pt>
                <c:pt idx="7">
                  <c:v>388.67634265166402</c:v>
                </c:pt>
                <c:pt idx="8">
                  <c:v>388.03676162884301</c:v>
                </c:pt>
                <c:pt idx="9">
                  <c:v>404.38215588160398</c:v>
                </c:pt>
                <c:pt idx="10">
                  <c:v>449.66486309231101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1-46C5-B34A-CD2DE5589827}"/>
            </c:ext>
          </c:extLst>
        </c:ser>
        <c:ser>
          <c:idx val="1"/>
          <c:order val="1"/>
          <c:tx>
            <c:strRef>
              <c:f>Compare!$AG$1</c:f>
              <c:strCache>
                <c:ptCount val="1"/>
                <c:pt idx="0">
                  <c:v>kafka</c:v>
                </c:pt>
              </c:strCache>
            </c:strRef>
          </c:tx>
          <c:spPr>
            <a:ln w="22225" cap="rnd">
              <a:solidFill>
                <a:srgbClr val="F28E2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27222"/>
              </a:solidFill>
              <a:ln w="9525">
                <a:solidFill>
                  <a:srgbClr val="C27222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Compare!$AG$2:$AG$12</c:f>
              <c:numCache>
                <c:formatCode>General</c:formatCode>
                <c:ptCount val="11"/>
                <c:pt idx="0">
                  <c:v>214.52233079322531</c:v>
                </c:pt>
                <c:pt idx="1">
                  <c:v>2260.7277546720679</c:v>
                </c:pt>
                <c:pt idx="2">
                  <c:v>2602.7452126845237</c:v>
                </c:pt>
                <c:pt idx="3">
                  <c:v>3280.9749418617971</c:v>
                </c:pt>
                <c:pt idx="4">
                  <c:v>3512.8710131944613</c:v>
                </c:pt>
                <c:pt idx="5">
                  <c:v>3674.9430309317572</c:v>
                </c:pt>
                <c:pt idx="6">
                  <c:v>3977.3296180537372</c:v>
                </c:pt>
                <c:pt idx="7">
                  <c:v>4038.153125212204</c:v>
                </c:pt>
                <c:pt idx="8">
                  <c:v>4328.6228897917126</c:v>
                </c:pt>
                <c:pt idx="9">
                  <c:v>4423.8737975670438</c:v>
                </c:pt>
                <c:pt idx="10">
                  <c:v>4638.5520382404611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1-46C5-B34A-CD2DE5589827}"/>
            </c:ext>
          </c:extLst>
        </c:ser>
        <c:ser>
          <c:idx val="2"/>
          <c:order val="2"/>
          <c:tx>
            <c:strRef>
              <c:f>Compare!$AH$1</c:f>
              <c:strCache>
                <c:ptCount val="1"/>
                <c:pt idx="0">
                  <c:v>orch-a</c:v>
                </c:pt>
              </c:strCache>
            </c:strRef>
          </c:tx>
          <c:spPr>
            <a:ln w="22225" cap="rnd">
              <a:solidFill>
                <a:srgbClr val="59A14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7813F"/>
              </a:solidFill>
              <a:ln w="9525">
                <a:solidFill>
                  <a:srgbClr val="47813F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Compare!$AH$2:$AH$12</c:f>
              <c:numCache>
                <c:formatCode>General</c:formatCode>
                <c:ptCount val="11"/>
                <c:pt idx="0">
                  <c:v>241.0588216018707</c:v>
                </c:pt>
                <c:pt idx="1">
                  <c:v>3032.396477365462</c:v>
                </c:pt>
                <c:pt idx="2">
                  <c:v>3888.4736035177539</c:v>
                </c:pt>
                <c:pt idx="3">
                  <c:v>4963.8398560138066</c:v>
                </c:pt>
                <c:pt idx="4">
                  <c:v>5695.0637507461115</c:v>
                </c:pt>
                <c:pt idx="5">
                  <c:v>5993.0151914782973</c:v>
                </c:pt>
                <c:pt idx="6">
                  <c:v>6640.186863622097</c:v>
                </c:pt>
                <c:pt idx="7">
                  <c:v>7026.6537945960736</c:v>
                </c:pt>
                <c:pt idx="8">
                  <c:v>7672.354103908563</c:v>
                </c:pt>
                <c:pt idx="9">
                  <c:v>8213.5872373660841</c:v>
                </c:pt>
                <c:pt idx="10">
                  <c:v>8796.8425134996105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1-46C5-B34A-CD2DE5589827}"/>
            </c:ext>
          </c:extLst>
        </c:ser>
        <c:ser>
          <c:idx val="3"/>
          <c:order val="3"/>
          <c:tx>
            <c:strRef>
              <c:f>Compare!$AI$1</c:f>
              <c:strCache>
                <c:ptCount val="1"/>
                <c:pt idx="0">
                  <c:v>part-b</c:v>
                </c:pt>
              </c:strCache>
            </c:strRef>
          </c:tx>
          <c:spPr>
            <a:ln w="22225" cap="rnd">
              <a:solidFill>
                <a:srgbClr val="E157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4647"/>
              </a:solidFill>
              <a:ln w="9525">
                <a:solidFill>
                  <a:srgbClr val="B44647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Compare!$AI$2:$AI$12</c:f>
              <c:numCache>
                <c:formatCode>General</c:formatCode>
                <c:ptCount val="11"/>
                <c:pt idx="0">
                  <c:v>257.35023244612341</c:v>
                </c:pt>
                <c:pt idx="1">
                  <c:v>3487.4476225636172</c:v>
                </c:pt>
                <c:pt idx="2">
                  <c:v>4621.6045295181239</c:v>
                </c:pt>
                <c:pt idx="3">
                  <c:v>5903.1672465158945</c:v>
                </c:pt>
                <c:pt idx="4">
                  <c:v>6893.8036414391418</c:v>
                </c:pt>
                <c:pt idx="5">
                  <c:v>7404.8405870281968</c:v>
                </c:pt>
                <c:pt idx="6">
                  <c:v>8237.3217043430468</c:v>
                </c:pt>
                <c:pt idx="7">
                  <c:v>8723.0446440311935</c:v>
                </c:pt>
                <c:pt idx="8">
                  <c:v>9722.8489499698826</c:v>
                </c:pt>
                <c:pt idx="9">
                  <c:v>10402.841894318433</c:v>
                </c:pt>
                <c:pt idx="10">
                  <c:v>11052.35334806311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81-46C5-B34A-CD2DE5589827}"/>
            </c:ext>
          </c:extLst>
        </c:ser>
        <c:ser>
          <c:idx val="4"/>
          <c:order val="4"/>
          <c:tx>
            <c:strRef>
              <c:f>Compare!$AJ$1</c:f>
              <c:strCache>
                <c:ptCount val="1"/>
                <c:pt idx="0">
                  <c:v>part-c</c:v>
                </c:pt>
              </c:strCache>
            </c:strRef>
          </c:tx>
          <c:spPr>
            <a:ln w="22225" cap="rnd">
              <a:solidFill>
                <a:srgbClr val="9C755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D5E4C"/>
              </a:solidFill>
              <a:ln w="9525">
                <a:solidFill>
                  <a:srgbClr val="7D5E4C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Compare!$AJ$2:$AJ$12</c:f>
              <c:numCache>
                <c:formatCode>General</c:formatCode>
                <c:ptCount val="11"/>
                <c:pt idx="0">
                  <c:v>275.0602869545624</c:v>
                </c:pt>
                <c:pt idx="1">
                  <c:v>3811.5037905135414</c:v>
                </c:pt>
                <c:pt idx="2">
                  <c:v>5136.4945264444586</c:v>
                </c:pt>
                <c:pt idx="3">
                  <c:v>6609.7181982289758</c:v>
                </c:pt>
                <c:pt idx="4">
                  <c:v>7840.5917612930398</c:v>
                </c:pt>
                <c:pt idx="5">
                  <c:v>8474.4282114332163</c:v>
                </c:pt>
                <c:pt idx="6">
                  <c:v>9474.1812669571173</c:v>
                </c:pt>
                <c:pt idx="7">
                  <c:v>10054.977199317613</c:v>
                </c:pt>
                <c:pt idx="8">
                  <c:v>11184.555239278052</c:v>
                </c:pt>
                <c:pt idx="9">
                  <c:v>12106.221232515414</c:v>
                </c:pt>
                <c:pt idx="10">
                  <c:v>12927.91476874683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81-46C5-B34A-CD2DE5589827}"/>
            </c:ext>
          </c:extLst>
        </c:ser>
        <c:ser>
          <c:idx val="5"/>
          <c:order val="5"/>
          <c:tx>
            <c:strRef>
              <c:f>Compare!$AK$1</c:f>
              <c:strCache>
                <c:ptCount val="1"/>
                <c:pt idx="0">
                  <c:v>rf</c:v>
                </c:pt>
              </c:strCache>
            </c:strRef>
          </c:tx>
          <c:spPr>
            <a:ln w="22225" cap="rnd">
              <a:solidFill>
                <a:srgbClr val="B07AA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D6281"/>
              </a:solidFill>
              <a:ln w="9525">
                <a:solidFill>
                  <a:srgbClr val="8D6281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Compare!$AK$2:$AK$12</c:f>
              <c:numCache>
                <c:formatCode>General</c:formatCode>
                <c:ptCount val="11"/>
                <c:pt idx="0">
                  <c:v>297.27140086338432</c:v>
                </c:pt>
                <c:pt idx="1">
                  <c:v>3850.7356666351475</c:v>
                </c:pt>
                <c:pt idx="2">
                  <c:v>5173.3741668982311</c:v>
                </c:pt>
                <c:pt idx="3">
                  <c:v>6638.0630128961275</c:v>
                </c:pt>
                <c:pt idx="4">
                  <c:v>7878.7410569858221</c:v>
                </c:pt>
                <c:pt idx="5">
                  <c:v>8503.0995156466342</c:v>
                </c:pt>
                <c:pt idx="6">
                  <c:v>9507.1228302096861</c:v>
                </c:pt>
                <c:pt idx="7">
                  <c:v>10093.33489217983</c:v>
                </c:pt>
                <c:pt idx="8">
                  <c:v>11216.737602430605</c:v>
                </c:pt>
                <c:pt idx="9">
                  <c:v>12135.156902775963</c:v>
                </c:pt>
                <c:pt idx="10">
                  <c:v>12956.563809013642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81-46C5-B34A-CD2DE5589827}"/>
            </c:ext>
          </c:extLst>
        </c:ser>
        <c:ser>
          <c:idx val="6"/>
          <c:order val="6"/>
          <c:tx>
            <c:strRef>
              <c:f>Compare!$AL$1</c:f>
              <c:strCache>
                <c:ptCount val="1"/>
                <c:pt idx="0">
                  <c:v>mongo</c:v>
                </c:pt>
              </c:strCache>
            </c:strRef>
          </c:tx>
          <c:spPr>
            <a:ln w="22225" cap="rnd">
              <a:solidFill>
                <a:srgbClr val="B5BD3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1972E"/>
              </a:solidFill>
              <a:ln w="9525">
                <a:solidFill>
                  <a:srgbClr val="91972E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Compare!$AL$2:$AL$12</c:f>
              <c:numCache>
                <c:formatCode>General</c:formatCode>
                <c:ptCount val="11"/>
                <c:pt idx="0">
                  <c:v>849.85411676122726</c:v>
                </c:pt>
                <c:pt idx="1">
                  <c:v>4390.0632144567808</c:v>
                </c:pt>
                <c:pt idx="2">
                  <c:v>5728.539231660633</c:v>
                </c:pt>
                <c:pt idx="3">
                  <c:v>7204.1527611362553</c:v>
                </c:pt>
                <c:pt idx="4">
                  <c:v>8408.3342889900214</c:v>
                </c:pt>
                <c:pt idx="5">
                  <c:v>9083.5527988404556</c:v>
                </c:pt>
                <c:pt idx="6">
                  <c:v>10094.980987133044</c:v>
                </c:pt>
                <c:pt idx="7">
                  <c:v>10688.43401731678</c:v>
                </c:pt>
                <c:pt idx="8">
                  <c:v>11746.381989525196</c:v>
                </c:pt>
                <c:pt idx="9">
                  <c:v>12671.098780613564</c:v>
                </c:pt>
                <c:pt idx="10">
                  <c:v>13492.975392511547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81-46C5-B34A-CD2DE5589827}"/>
            </c:ext>
          </c:extLst>
        </c:ser>
        <c:ser>
          <c:idx val="7"/>
          <c:order val="7"/>
          <c:tx>
            <c:strRef>
              <c:f>Compare!$AM$1</c:f>
              <c:strCache>
                <c:ptCount val="1"/>
                <c:pt idx="0">
                  <c:v>redis</c:v>
                </c:pt>
              </c:strCache>
            </c:strRef>
          </c:tx>
          <c:spPr>
            <a:ln w="22225" cap="rnd">
              <a:solidFill>
                <a:srgbClr val="4EBCD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E96AA"/>
              </a:solidFill>
              <a:ln w="9525">
                <a:solidFill>
                  <a:srgbClr val="3E96AA"/>
                </a:solidFill>
                <a:prstDash val="solid"/>
              </a:ln>
              <a:effectLst/>
            </c:spPr>
          </c:marker>
          <c:xVal>
            <c:numRef>
              <c:f>Compare!$AE$2:$AE$12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Compare!$AM$2:$AM$12</c:f>
              <c:numCache>
                <c:formatCode>General</c:formatCode>
                <c:ptCount val="11"/>
                <c:pt idx="0">
                  <c:v>991.29542190435632</c:v>
                </c:pt>
                <c:pt idx="1">
                  <c:v>4562.6729204889189</c:v>
                </c:pt>
                <c:pt idx="2">
                  <c:v>5918.9953281653743</c:v>
                </c:pt>
                <c:pt idx="3">
                  <c:v>7403.8332417328584</c:v>
                </c:pt>
                <c:pt idx="4">
                  <c:v>8613.9973132682971</c:v>
                </c:pt>
                <c:pt idx="5">
                  <c:v>9304.108806700011</c:v>
                </c:pt>
                <c:pt idx="6">
                  <c:v>10323.761291197028</c:v>
                </c:pt>
                <c:pt idx="7">
                  <c:v>10926.640064678306</c:v>
                </c:pt>
                <c:pt idx="8">
                  <c:v>11995.864540757342</c:v>
                </c:pt>
                <c:pt idx="9">
                  <c:v>12929.299588519714</c:v>
                </c:pt>
                <c:pt idx="10">
                  <c:v>13761.022083672982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81-46C5-B34A-CD2DE5589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414415"/>
        <c:axId val="2078415855"/>
      </c:scatterChart>
      <c:valAx>
        <c:axId val="2078414415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8415855"/>
        <c:crosses val="autoZero"/>
        <c:crossBetween val="midCat"/>
      </c:valAx>
      <c:valAx>
        <c:axId val="2078415855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(mCPU)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841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parallel_command-6.3.0-523,127,67 - latency and throttling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Compare!$AR$1</c:f>
              <c:strCache>
                <c:ptCount val="1"/>
                <c:pt idx="0">
                  <c:v>Avg Latency (ms)</c:v>
                </c:pt>
              </c:strCache>
            </c:strRef>
          </c:tx>
          <c:spPr>
            <a:ln w="25400" cap="rnd">
              <a:solidFill>
                <a:srgbClr val="2F559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Compare!$AQ$2:$AQ$12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Compare!$AR$2:$AR$12</c:f>
              <c:numCache>
                <c:formatCode>General</c:formatCode>
                <c:ptCount val="11"/>
                <c:pt idx="0">
                  <c:v>26.434999999999999</c:v>
                </c:pt>
                <c:pt idx="1">
                  <c:v>22.009438836450901</c:v>
                </c:pt>
                <c:pt idx="2">
                  <c:v>26.655872998236099</c:v>
                </c:pt>
                <c:pt idx="3">
                  <c:v>35.243547601543</c:v>
                </c:pt>
                <c:pt idx="4">
                  <c:v>42.681960236348402</c:v>
                </c:pt>
                <c:pt idx="5">
                  <c:v>53.849791944361399</c:v>
                </c:pt>
                <c:pt idx="6">
                  <c:v>61.261687756447799</c:v>
                </c:pt>
                <c:pt idx="7">
                  <c:v>64.095780146214096</c:v>
                </c:pt>
                <c:pt idx="8">
                  <c:v>65.842557815852103</c:v>
                </c:pt>
                <c:pt idx="9">
                  <c:v>74.799104386782204</c:v>
                </c:pt>
                <c:pt idx="10">
                  <c:v>78.564892343481503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F-4EBE-9B7A-38B917D3E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424015"/>
        <c:axId val="2078428815"/>
      </c:scatterChart>
      <c:scatterChart>
        <c:scatterStyle val="lineMarker"/>
        <c:varyColors val="0"/>
        <c:ser>
          <c:idx val="1"/>
          <c:order val="1"/>
          <c:tx>
            <c:strRef>
              <c:f>Compare!$AS$1</c:f>
              <c:strCache>
                <c:ptCount val="1"/>
                <c:pt idx="0">
                  <c:v>Max Throttling (%)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Compare!$AQ$2:$AQ$12</c:f>
              <c:numCache>
                <c:formatCode>General</c:formatCode>
                <c:ptCount val="11"/>
                <c:pt idx="0">
                  <c:v>0.99999833333611099</c:v>
                </c:pt>
                <c:pt idx="1">
                  <c:v>300.00016666583298</c:v>
                </c:pt>
                <c:pt idx="2">
                  <c:v>600.00100000166697</c:v>
                </c:pt>
                <c:pt idx="3">
                  <c:v>899.99900000666696</c:v>
                </c:pt>
                <c:pt idx="4">
                  <c:v>1199.90033731984</c:v>
                </c:pt>
                <c:pt idx="5">
                  <c:v>1496.93720139586</c:v>
                </c:pt>
                <c:pt idx="6">
                  <c:v>1794.7743242721201</c:v>
                </c:pt>
                <c:pt idx="7">
                  <c:v>2097.0865692744301</c:v>
                </c:pt>
                <c:pt idx="8">
                  <c:v>2375.12719030477</c:v>
                </c:pt>
                <c:pt idx="9">
                  <c:v>2650.6684750371601</c:v>
                </c:pt>
                <c:pt idx="10">
                  <c:v>2944.0462936419599</c:v>
                </c:pt>
              </c:numCache>
            </c:numRef>
          </c:xVal>
          <c:yVal>
            <c:numRef>
              <c:f>Compare!$AS$2:$AS$12</c:f>
              <c:numCache>
                <c:formatCode>General</c:formatCode>
                <c:ptCount val="11"/>
                <c:pt idx="0">
                  <c:v>11.1760485182007</c:v>
                </c:pt>
                <c:pt idx="1">
                  <c:v>9.5947340158334704</c:v>
                </c:pt>
                <c:pt idx="2">
                  <c:v>9.6689447679883305</c:v>
                </c:pt>
                <c:pt idx="3">
                  <c:v>10.3009412421506</c:v>
                </c:pt>
                <c:pt idx="4">
                  <c:v>9.4155716955346396</c:v>
                </c:pt>
                <c:pt idx="5">
                  <c:v>9.7473749774863006</c:v>
                </c:pt>
                <c:pt idx="6">
                  <c:v>8.9613180148957898</c:v>
                </c:pt>
                <c:pt idx="7">
                  <c:v>9.7080150682687893</c:v>
                </c:pt>
                <c:pt idx="8">
                  <c:v>8.5909132207632108</c:v>
                </c:pt>
                <c:pt idx="9">
                  <c:v>9.7545152579948304</c:v>
                </c:pt>
                <c:pt idx="10">
                  <c:v>9.8080102816541093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F-4EBE-9B7A-38B917D3E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375423"/>
        <c:axId val="651385023"/>
      </c:scatterChart>
      <c:valAx>
        <c:axId val="2078424015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8428815"/>
        <c:crosses val="autoZero"/>
        <c:crossBetween val="midCat"/>
      </c:valAx>
      <c:valAx>
        <c:axId val="20784288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8424015"/>
        <c:crosses val="autoZero"/>
        <c:crossBetween val="midCat"/>
      </c:valAx>
      <c:valAx>
        <c:axId val="651385023"/>
        <c:scaling>
          <c:orientation val="minMax"/>
          <c:max val="1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Max Throttling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1375423"/>
        <c:crosses val="max"/>
        <c:crossBetween val="midCat"/>
      </c:valAx>
      <c:valAx>
        <c:axId val="651375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1385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simple-6.3.0-528,133,73 - cumulative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Compare!$AU$1</c:f>
              <c:strCache>
                <c:ptCount val="1"/>
                <c:pt idx="0">
                  <c:v>im</c:v>
                </c:pt>
              </c:strCache>
            </c:strRef>
          </c:tx>
          <c:spPr>
            <a:ln w="22225" cap="rnd">
              <a:solidFill>
                <a:srgbClr val="4E79A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E6186"/>
              </a:solidFill>
              <a:ln w="9525">
                <a:solidFill>
                  <a:srgbClr val="3E6186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Compare!$AU$2:$AU$16</c:f>
              <c:numCache>
                <c:formatCode>General</c:formatCode>
                <c:ptCount val="15"/>
                <c:pt idx="0">
                  <c:v>5.6651973618798603</c:v>
                </c:pt>
                <c:pt idx="1">
                  <c:v>92.612463390823095</c:v>
                </c:pt>
                <c:pt idx="2">
                  <c:v>145.576299638042</c:v>
                </c:pt>
                <c:pt idx="3">
                  <c:v>187.568080767558</c:v>
                </c:pt>
                <c:pt idx="4">
                  <c:v>229.442818518829</c:v>
                </c:pt>
                <c:pt idx="5">
                  <c:v>255.21239634965499</c:v>
                </c:pt>
                <c:pt idx="6">
                  <c:v>296.80207893454502</c:v>
                </c:pt>
                <c:pt idx="7">
                  <c:v>314.9317944554</c:v>
                </c:pt>
                <c:pt idx="8">
                  <c:v>352.86134916135899</c:v>
                </c:pt>
                <c:pt idx="9">
                  <c:v>357.56141842552898</c:v>
                </c:pt>
                <c:pt idx="10">
                  <c:v>402.48175707362799</c:v>
                </c:pt>
                <c:pt idx="11">
                  <c:v>399.26685721709902</c:v>
                </c:pt>
                <c:pt idx="12">
                  <c:v>434.31385303384502</c:v>
                </c:pt>
                <c:pt idx="13">
                  <c:v>461.39097262829603</c:v>
                </c:pt>
                <c:pt idx="14">
                  <c:v>488.27140319715897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8-4BAF-A627-30CE4C0F7F5E}"/>
            </c:ext>
          </c:extLst>
        </c:ser>
        <c:ser>
          <c:idx val="1"/>
          <c:order val="1"/>
          <c:tx>
            <c:strRef>
              <c:f>Compare!$AV$1</c:f>
              <c:strCache>
                <c:ptCount val="1"/>
                <c:pt idx="0">
                  <c:v>kafka</c:v>
                </c:pt>
              </c:strCache>
            </c:strRef>
          </c:tx>
          <c:spPr>
            <a:ln w="22225" cap="rnd">
              <a:solidFill>
                <a:srgbClr val="F28E2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27222"/>
              </a:solidFill>
              <a:ln w="9525">
                <a:solidFill>
                  <a:srgbClr val="C27222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Compare!$AV$2:$AV$16</c:f>
              <c:numCache>
                <c:formatCode>General</c:formatCode>
                <c:ptCount val="15"/>
                <c:pt idx="0">
                  <c:v>1850.2484304272298</c:v>
                </c:pt>
                <c:pt idx="1">
                  <c:v>3206.350224637863</c:v>
                </c:pt>
                <c:pt idx="2">
                  <c:v>3889.327014597482</c:v>
                </c:pt>
                <c:pt idx="3">
                  <c:v>4670.4686044535783</c:v>
                </c:pt>
                <c:pt idx="4">
                  <c:v>4834.1654276630989</c:v>
                </c:pt>
                <c:pt idx="5">
                  <c:v>5246.5427531713149</c:v>
                </c:pt>
                <c:pt idx="6">
                  <c:v>5715.2440749227444</c:v>
                </c:pt>
                <c:pt idx="7">
                  <c:v>5836.0305455915495</c:v>
                </c:pt>
                <c:pt idx="8">
                  <c:v>5961.1726194080884</c:v>
                </c:pt>
                <c:pt idx="9">
                  <c:v>5971.9071520498792</c:v>
                </c:pt>
                <c:pt idx="10">
                  <c:v>6092.236985725468</c:v>
                </c:pt>
                <c:pt idx="11">
                  <c:v>6172.7275801768292</c:v>
                </c:pt>
                <c:pt idx="12">
                  <c:v>6322.3738157093749</c:v>
                </c:pt>
                <c:pt idx="13">
                  <c:v>6519.6893479059563</c:v>
                </c:pt>
                <c:pt idx="14">
                  <c:v>6334.5156908311392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8-4BAF-A627-30CE4C0F7F5E}"/>
            </c:ext>
          </c:extLst>
        </c:ser>
        <c:ser>
          <c:idx val="2"/>
          <c:order val="2"/>
          <c:tx>
            <c:strRef>
              <c:f>Compare!$AW$1</c:f>
              <c:strCache>
                <c:ptCount val="1"/>
                <c:pt idx="0">
                  <c:v>orch-a</c:v>
                </c:pt>
              </c:strCache>
            </c:strRef>
          </c:tx>
          <c:spPr>
            <a:ln w="22225" cap="rnd">
              <a:solidFill>
                <a:srgbClr val="59A14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7813F"/>
              </a:solidFill>
              <a:ln w="9525">
                <a:solidFill>
                  <a:srgbClr val="47813F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Compare!$AW$2:$AW$16</c:f>
              <c:numCache>
                <c:formatCode>General</c:formatCode>
                <c:ptCount val="15"/>
                <c:pt idx="0">
                  <c:v>2027.2794360563178</c:v>
                </c:pt>
                <c:pt idx="1">
                  <c:v>4072.793939745291</c:v>
                </c:pt>
                <c:pt idx="2">
                  <c:v>5162.0030788492022</c:v>
                </c:pt>
                <c:pt idx="3">
                  <c:v>6377.3075188287685</c:v>
                </c:pt>
                <c:pt idx="4">
                  <c:v>6937.0354112157293</c:v>
                </c:pt>
                <c:pt idx="5">
                  <c:v>7748.9747074552342</c:v>
                </c:pt>
                <c:pt idx="6">
                  <c:v>8518.9360569706751</c:v>
                </c:pt>
                <c:pt idx="7">
                  <c:v>9073.8301086718293</c:v>
                </c:pt>
                <c:pt idx="8">
                  <c:v>9525.3173025301694</c:v>
                </c:pt>
                <c:pt idx="9">
                  <c:v>9801.9734164327692</c:v>
                </c:pt>
                <c:pt idx="10">
                  <c:v>10261.797079730957</c:v>
                </c:pt>
                <c:pt idx="11">
                  <c:v>10751.291713934388</c:v>
                </c:pt>
                <c:pt idx="12">
                  <c:v>10888.819258194584</c:v>
                </c:pt>
                <c:pt idx="13">
                  <c:v>11537.256197058387</c:v>
                </c:pt>
                <c:pt idx="14">
                  <c:v>11991.063010148669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88-4BAF-A627-30CE4C0F7F5E}"/>
            </c:ext>
          </c:extLst>
        </c:ser>
        <c:ser>
          <c:idx val="3"/>
          <c:order val="3"/>
          <c:tx>
            <c:strRef>
              <c:f>Compare!$AX$1</c:f>
              <c:strCache>
                <c:ptCount val="1"/>
                <c:pt idx="0">
                  <c:v>part-b</c:v>
                </c:pt>
              </c:strCache>
            </c:strRef>
          </c:tx>
          <c:spPr>
            <a:ln w="22225" cap="rnd">
              <a:solidFill>
                <a:srgbClr val="E157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4647"/>
              </a:solidFill>
              <a:ln w="9525">
                <a:solidFill>
                  <a:srgbClr val="B44647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Compare!$AX$2:$AX$16</c:f>
              <c:numCache>
                <c:formatCode>General</c:formatCode>
                <c:ptCount val="15"/>
                <c:pt idx="0">
                  <c:v>2143.4946243615386</c:v>
                </c:pt>
                <c:pt idx="1">
                  <c:v>4532.2861750733682</c:v>
                </c:pt>
                <c:pt idx="2">
                  <c:v>5803.1042971197767</c:v>
                </c:pt>
                <c:pt idx="3">
                  <c:v>7199.9972098131857</c:v>
                </c:pt>
                <c:pt idx="4">
                  <c:v>7932.4368049226978</c:v>
                </c:pt>
                <c:pt idx="5">
                  <c:v>8944.505768881505</c:v>
                </c:pt>
                <c:pt idx="6">
                  <c:v>9873.0619775082741</c:v>
                </c:pt>
                <c:pt idx="7">
                  <c:v>10563.242798327559</c:v>
                </c:pt>
                <c:pt idx="8">
                  <c:v>11257.69668626499</c:v>
                </c:pt>
                <c:pt idx="9">
                  <c:v>11521.204963200369</c:v>
                </c:pt>
                <c:pt idx="10">
                  <c:v>12274.368591195198</c:v>
                </c:pt>
                <c:pt idx="11">
                  <c:v>12648.179808213948</c:v>
                </c:pt>
                <c:pt idx="12">
                  <c:v>13114.931677157223</c:v>
                </c:pt>
                <c:pt idx="13">
                  <c:v>13948.950631989606</c:v>
                </c:pt>
                <c:pt idx="14">
                  <c:v>14491.929638917909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88-4BAF-A627-30CE4C0F7F5E}"/>
            </c:ext>
          </c:extLst>
        </c:ser>
        <c:ser>
          <c:idx val="4"/>
          <c:order val="4"/>
          <c:tx>
            <c:strRef>
              <c:f>Compare!$AY$1</c:f>
              <c:strCache>
                <c:ptCount val="1"/>
                <c:pt idx="0">
                  <c:v>part-c</c:v>
                </c:pt>
              </c:strCache>
            </c:strRef>
          </c:tx>
          <c:spPr>
            <a:ln w="22225" cap="rnd">
              <a:solidFill>
                <a:srgbClr val="9C755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D5E4C"/>
              </a:solidFill>
              <a:ln w="9525">
                <a:solidFill>
                  <a:srgbClr val="7D5E4C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Compare!$AY$2:$AY$16</c:f>
              <c:numCache>
                <c:formatCode>General</c:formatCode>
                <c:ptCount val="15"/>
                <c:pt idx="0">
                  <c:v>2262.5046968508827</c:v>
                </c:pt>
                <c:pt idx="1">
                  <c:v>4984.2321458990309</c:v>
                </c:pt>
                <c:pt idx="2">
                  <c:v>6477.7975596406177</c:v>
                </c:pt>
                <c:pt idx="3">
                  <c:v>7999.8059218473691</c:v>
                </c:pt>
                <c:pt idx="4">
                  <c:v>8980.1467253380779</c:v>
                </c:pt>
                <c:pt idx="5">
                  <c:v>10213.375318058805</c:v>
                </c:pt>
                <c:pt idx="6">
                  <c:v>11260.842898687693</c:v>
                </c:pt>
                <c:pt idx="7">
                  <c:v>12087.63192208546</c:v>
                </c:pt>
                <c:pt idx="8">
                  <c:v>12825.83507815311</c:v>
                </c:pt>
                <c:pt idx="9">
                  <c:v>13322.363914935409</c:v>
                </c:pt>
                <c:pt idx="10">
                  <c:v>14256.632397650457</c:v>
                </c:pt>
                <c:pt idx="11">
                  <c:v>14738.426587078258</c:v>
                </c:pt>
                <c:pt idx="12">
                  <c:v>15289.431388862013</c:v>
                </c:pt>
                <c:pt idx="13">
                  <c:v>16352.771777965047</c:v>
                </c:pt>
                <c:pt idx="14">
                  <c:v>17052.83379971539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88-4BAF-A627-30CE4C0F7F5E}"/>
            </c:ext>
          </c:extLst>
        </c:ser>
        <c:ser>
          <c:idx val="5"/>
          <c:order val="5"/>
          <c:tx>
            <c:strRef>
              <c:f>Compare!$AZ$1</c:f>
              <c:strCache>
                <c:ptCount val="1"/>
                <c:pt idx="0">
                  <c:v>rf</c:v>
                </c:pt>
              </c:strCache>
            </c:strRef>
          </c:tx>
          <c:spPr>
            <a:ln w="22225" cap="rnd">
              <a:solidFill>
                <a:srgbClr val="B07AA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D6281"/>
              </a:solidFill>
              <a:ln w="9525">
                <a:solidFill>
                  <a:srgbClr val="8D6281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Compare!$AZ$2:$AZ$16</c:f>
              <c:numCache>
                <c:formatCode>General</c:formatCode>
                <c:ptCount val="15"/>
                <c:pt idx="0">
                  <c:v>2549.1603254243828</c:v>
                </c:pt>
                <c:pt idx="1">
                  <c:v>5294.9394137438176</c:v>
                </c:pt>
                <c:pt idx="2">
                  <c:v>6804.174737946375</c:v>
                </c:pt>
                <c:pt idx="3">
                  <c:v>8334.2853682441437</c:v>
                </c:pt>
                <c:pt idx="4">
                  <c:v>9339.529051636393</c:v>
                </c:pt>
                <c:pt idx="5">
                  <c:v>10645.017037576341</c:v>
                </c:pt>
                <c:pt idx="6">
                  <c:v>11639.213463522839</c:v>
                </c:pt>
                <c:pt idx="7">
                  <c:v>12471.024006137923</c:v>
                </c:pt>
                <c:pt idx="8">
                  <c:v>13235.740825932442</c:v>
                </c:pt>
                <c:pt idx="9">
                  <c:v>13723.304560999532</c:v>
                </c:pt>
                <c:pt idx="10">
                  <c:v>14674.645466000111</c:v>
                </c:pt>
                <c:pt idx="11">
                  <c:v>15165.708239102871</c:v>
                </c:pt>
                <c:pt idx="12">
                  <c:v>15715.195884722625</c:v>
                </c:pt>
                <c:pt idx="13">
                  <c:v>16805.526692008341</c:v>
                </c:pt>
                <c:pt idx="14">
                  <c:v>17510.546202521004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88-4BAF-A627-30CE4C0F7F5E}"/>
            </c:ext>
          </c:extLst>
        </c:ser>
        <c:ser>
          <c:idx val="6"/>
          <c:order val="6"/>
          <c:tx>
            <c:strRef>
              <c:f>Compare!$BA$1</c:f>
              <c:strCache>
                <c:ptCount val="1"/>
                <c:pt idx="0">
                  <c:v>mongo</c:v>
                </c:pt>
              </c:strCache>
            </c:strRef>
          </c:tx>
          <c:spPr>
            <a:ln w="22225" cap="rnd">
              <a:solidFill>
                <a:srgbClr val="B5BD3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1972E"/>
              </a:solidFill>
              <a:ln w="9525">
                <a:solidFill>
                  <a:srgbClr val="91972E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Compare!$BA$2:$BA$16</c:f>
              <c:numCache>
                <c:formatCode>General</c:formatCode>
                <c:ptCount val="15"/>
                <c:pt idx="0">
                  <c:v>3073.2752099737427</c:v>
                </c:pt>
                <c:pt idx="1">
                  <c:v>5868.8908835830698</c:v>
                </c:pt>
                <c:pt idx="2">
                  <c:v>7320.6567587593727</c:v>
                </c:pt>
                <c:pt idx="3">
                  <c:v>8897.2893631644438</c:v>
                </c:pt>
                <c:pt idx="4">
                  <c:v>9918.0366295939657</c:v>
                </c:pt>
                <c:pt idx="5">
                  <c:v>11225.129244401807</c:v>
                </c:pt>
                <c:pt idx="6">
                  <c:v>12208.716365773018</c:v>
                </c:pt>
                <c:pt idx="7">
                  <c:v>13052.072765057466</c:v>
                </c:pt>
                <c:pt idx="8">
                  <c:v>13817.165525701292</c:v>
                </c:pt>
                <c:pt idx="9">
                  <c:v>14307.187699740763</c:v>
                </c:pt>
                <c:pt idx="10">
                  <c:v>15223.220248801736</c:v>
                </c:pt>
                <c:pt idx="11">
                  <c:v>15668.180556462941</c:v>
                </c:pt>
                <c:pt idx="12">
                  <c:v>16253.678047322634</c:v>
                </c:pt>
                <c:pt idx="13">
                  <c:v>17360.603596408582</c:v>
                </c:pt>
                <c:pt idx="14">
                  <c:v>18110.252867865354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88-4BAF-A627-30CE4C0F7F5E}"/>
            </c:ext>
          </c:extLst>
        </c:ser>
        <c:ser>
          <c:idx val="7"/>
          <c:order val="7"/>
          <c:tx>
            <c:strRef>
              <c:f>Compare!$BB$1</c:f>
              <c:strCache>
                <c:ptCount val="1"/>
                <c:pt idx="0">
                  <c:v>redis</c:v>
                </c:pt>
              </c:strCache>
            </c:strRef>
          </c:tx>
          <c:spPr>
            <a:ln w="22225" cap="rnd">
              <a:solidFill>
                <a:srgbClr val="4EBCD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E96AA"/>
              </a:solidFill>
              <a:ln w="9525">
                <a:solidFill>
                  <a:srgbClr val="3E96AA"/>
                </a:solidFill>
                <a:prstDash val="solid"/>
              </a:ln>
              <a:effectLst/>
            </c:spPr>
          </c:marker>
          <c:xVal>
            <c:numRef>
              <c:f>Compare!$AT$2:$AT$16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Compare!$BB$2:$BB$16</c:f>
              <c:numCache>
                <c:formatCode>General</c:formatCode>
                <c:ptCount val="15"/>
                <c:pt idx="0">
                  <c:v>3254.5691740272077</c:v>
                </c:pt>
                <c:pt idx="1">
                  <c:v>6072.0749360627979</c:v>
                </c:pt>
                <c:pt idx="2">
                  <c:v>7545.9706461633104</c:v>
                </c:pt>
                <c:pt idx="3">
                  <c:v>9150.0610305116024</c:v>
                </c:pt>
                <c:pt idx="4">
                  <c:v>10180.647353598593</c:v>
                </c:pt>
                <c:pt idx="5">
                  <c:v>11501.11230694123</c:v>
                </c:pt>
                <c:pt idx="6">
                  <c:v>12500.511418817259</c:v>
                </c:pt>
                <c:pt idx="7">
                  <c:v>13342.911130073451</c:v>
                </c:pt>
                <c:pt idx="8">
                  <c:v>14134.613547185643</c:v>
                </c:pt>
                <c:pt idx="9">
                  <c:v>14635.265060571252</c:v>
                </c:pt>
                <c:pt idx="10">
                  <c:v>15549.704310548599</c:v>
                </c:pt>
                <c:pt idx="11">
                  <c:v>16008.221179230699</c:v>
                </c:pt>
                <c:pt idx="12">
                  <c:v>16605.731056868859</c:v>
                </c:pt>
                <c:pt idx="13">
                  <c:v>17720.614673732631</c:v>
                </c:pt>
                <c:pt idx="14">
                  <c:v>18489.266620444083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88-4BAF-A627-30CE4C0F7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4335"/>
        <c:axId val="25786255"/>
      </c:scatterChart>
      <c:valAx>
        <c:axId val="25784335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5786255"/>
        <c:crosses val="autoZero"/>
        <c:crossBetween val="midCat"/>
      </c:valAx>
      <c:valAx>
        <c:axId val="25786255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CPU (mCPU)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578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simple-6.3.0-528,133,73 - latency and throttling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Compare!$BG$1</c:f>
              <c:strCache>
                <c:ptCount val="1"/>
                <c:pt idx="0">
                  <c:v>Avg Latency (ms)</c:v>
                </c:pt>
              </c:strCache>
            </c:strRef>
          </c:tx>
          <c:spPr>
            <a:ln w="25400" cap="rnd">
              <a:solidFill>
                <a:srgbClr val="2F559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Compare!$BF$2:$BF$16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Compare!$BG$2:$BG$16</c:f>
              <c:numCache>
                <c:formatCode>General</c:formatCode>
                <c:ptCount val="15"/>
                <c:pt idx="0">
                  <c:v>36.896666666666697</c:v>
                </c:pt>
                <c:pt idx="1">
                  <c:v>26.948238601325599</c:v>
                </c:pt>
                <c:pt idx="2">
                  <c:v>26.516697314985102</c:v>
                </c:pt>
                <c:pt idx="3">
                  <c:v>26.0020592706997</c:v>
                </c:pt>
                <c:pt idx="4">
                  <c:v>26.235484068099801</c:v>
                </c:pt>
                <c:pt idx="5">
                  <c:v>27.168235109790999</c:v>
                </c:pt>
                <c:pt idx="6">
                  <c:v>30.279342599100499</c:v>
                </c:pt>
                <c:pt idx="7">
                  <c:v>33.258443152243998</c:v>
                </c:pt>
                <c:pt idx="8">
                  <c:v>38.101793483915202</c:v>
                </c:pt>
                <c:pt idx="9">
                  <c:v>43.298047977113001</c:v>
                </c:pt>
                <c:pt idx="10">
                  <c:v>45.585986712826397</c:v>
                </c:pt>
                <c:pt idx="11">
                  <c:v>49.969192602740499</c:v>
                </c:pt>
                <c:pt idx="12">
                  <c:v>51.461435345681203</c:v>
                </c:pt>
                <c:pt idx="13">
                  <c:v>53.601333715570298</c:v>
                </c:pt>
                <c:pt idx="14">
                  <c:v>56.939752856179297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D-4889-BFF2-7E2E417CB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25119"/>
        <c:axId val="2112339039"/>
      </c:scatterChart>
      <c:scatterChart>
        <c:scatterStyle val="lineMarker"/>
        <c:varyColors val="0"/>
        <c:ser>
          <c:idx val="1"/>
          <c:order val="1"/>
          <c:tx>
            <c:strRef>
              <c:f>Compare!$BH$1</c:f>
              <c:strCache>
                <c:ptCount val="1"/>
                <c:pt idx="0">
                  <c:v>Max Throttling (%)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Compare!$BF$2:$BF$16</c:f>
              <c:numCache>
                <c:formatCode>General</c:formatCode>
                <c:ptCount val="15"/>
                <c:pt idx="0">
                  <c:v>1</c:v>
                </c:pt>
                <c:pt idx="1">
                  <c:v>299.99966666888901</c:v>
                </c:pt>
                <c:pt idx="2">
                  <c:v>599.99833336111101</c:v>
                </c:pt>
                <c:pt idx="3">
                  <c:v>899.98900025666103</c:v>
                </c:pt>
                <c:pt idx="4">
                  <c:v>1199.9960000466699</c:v>
                </c:pt>
                <c:pt idx="5">
                  <c:v>1499.9283333333301</c:v>
                </c:pt>
                <c:pt idx="6">
                  <c:v>1799.82866980772</c:v>
                </c:pt>
                <c:pt idx="7">
                  <c:v>2097.1968814472798</c:v>
                </c:pt>
                <c:pt idx="8">
                  <c:v>2383.73540423029</c:v>
                </c:pt>
                <c:pt idx="9">
                  <c:v>2658.0673155783302</c:v>
                </c:pt>
                <c:pt idx="10">
                  <c:v>2934.9543145070702</c:v>
                </c:pt>
                <c:pt idx="11">
                  <c:v>3182.3625180262502</c:v>
                </c:pt>
                <c:pt idx="12">
                  <c:v>3433.2445005976001</c:v>
                </c:pt>
                <c:pt idx="13">
                  <c:v>3818.89137606032</c:v>
                </c:pt>
                <c:pt idx="14">
                  <c:v>4356.0486370817798</c:v>
                </c:pt>
              </c:numCache>
            </c:numRef>
          </c:xVal>
          <c:yVal>
            <c:numRef>
              <c:f>Compare!$BH$2:$BH$16</c:f>
              <c:numCache>
                <c:formatCode>General</c:formatCode>
                <c:ptCount val="15"/>
                <c:pt idx="0">
                  <c:v>10.5075747816235</c:v>
                </c:pt>
                <c:pt idx="1">
                  <c:v>9.1263693846390002</c:v>
                </c:pt>
                <c:pt idx="2">
                  <c:v>10.5255480389587</c:v>
                </c:pt>
                <c:pt idx="3">
                  <c:v>9.5931623092489993</c:v>
                </c:pt>
                <c:pt idx="4">
                  <c:v>9.5909607291029992</c:v>
                </c:pt>
                <c:pt idx="5">
                  <c:v>9.4233297852357403</c:v>
                </c:pt>
                <c:pt idx="6">
                  <c:v>10.392177845952199</c:v>
                </c:pt>
                <c:pt idx="7">
                  <c:v>10.6834059959842</c:v>
                </c:pt>
                <c:pt idx="8">
                  <c:v>9.2900330592109306</c:v>
                </c:pt>
                <c:pt idx="9">
                  <c:v>10.8412939881838</c:v>
                </c:pt>
                <c:pt idx="10">
                  <c:v>10.1721957829897</c:v>
                </c:pt>
                <c:pt idx="11">
                  <c:v>9.9055366430771503</c:v>
                </c:pt>
                <c:pt idx="12">
                  <c:v>9.6539941057404892</c:v>
                </c:pt>
                <c:pt idx="13">
                  <c:v>10.2830283149208</c:v>
                </c:pt>
                <c:pt idx="14">
                  <c:v>9.6113687430992307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ED-4889-BFF2-7E2E417CB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26559"/>
        <c:axId val="2112336159"/>
      </c:scatterChart>
      <c:valAx>
        <c:axId val="2112325119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TPS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12339039"/>
        <c:crosses val="autoZero"/>
        <c:crossBetween val="midCat"/>
      </c:valAx>
      <c:valAx>
        <c:axId val="21123390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12325119"/>
        <c:crosses val="autoZero"/>
        <c:crossBetween val="midCat"/>
      </c:valAx>
      <c:valAx>
        <c:axId val="2112336159"/>
        <c:scaling>
          <c:orientation val="minMax"/>
          <c:max val="1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Max Throttling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12326559"/>
        <c:crosses val="max"/>
        <c:crossBetween val="midCat"/>
      </c:valAx>
      <c:valAx>
        <c:axId val="2112326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33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182879</xdr:rowOff>
    </xdr:from>
    <xdr:to>
      <xdr:col>8</xdr:col>
      <xdr:colOff>0</xdr:colOff>
      <xdr:row>33</xdr:row>
      <xdr:rowOff>182879</xdr:rowOff>
    </xdr:to>
    <xdr:graphicFrame macro="">
      <xdr:nvGraphicFramePr>
        <xdr:cNvPr id="1377" name="OverviewCPU_1782816345472">
          <a:extLst>
            <a:ext uri="{FF2B5EF4-FFF2-40B4-BE49-F238E27FC236}">
              <a16:creationId xmlns:a16="http://schemas.microsoft.com/office/drawing/2014/main" id="{736D41D1-BD66-64FA-FFD8-B7CCFE0A1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609599</xdr:colOff>
      <xdr:row>12</xdr:row>
      <xdr:rowOff>182879</xdr:rowOff>
    </xdr:from>
    <xdr:to>
      <xdr:col>15</xdr:col>
      <xdr:colOff>609599</xdr:colOff>
      <xdr:row>33</xdr:row>
      <xdr:rowOff>182879</xdr:rowOff>
    </xdr:to>
    <xdr:graphicFrame macro="">
      <xdr:nvGraphicFramePr>
        <xdr:cNvPr id="1378" name="OverviewLatency_1782816345685">
          <a:extLst>
            <a:ext uri="{FF2B5EF4-FFF2-40B4-BE49-F238E27FC236}">
              <a16:creationId xmlns:a16="http://schemas.microsoft.com/office/drawing/2014/main" id="{0246772E-EBF7-1B34-2A35-C3A183F52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609599</xdr:colOff>
      <xdr:row>12</xdr:row>
      <xdr:rowOff>182879</xdr:rowOff>
    </xdr:from>
    <xdr:to>
      <xdr:col>23</xdr:col>
      <xdr:colOff>609599</xdr:colOff>
      <xdr:row>33</xdr:row>
      <xdr:rowOff>182879</xdr:rowOff>
    </xdr:to>
    <xdr:graphicFrame macro="">
      <xdr:nvGraphicFramePr>
        <xdr:cNvPr id="1379" name="OverviewThrottling_1782816345854">
          <a:extLst>
            <a:ext uri="{FF2B5EF4-FFF2-40B4-BE49-F238E27FC236}">
              <a16:creationId xmlns:a16="http://schemas.microsoft.com/office/drawing/2014/main" id="{0E1DD4B7-1B67-817E-09C4-2FC9F6759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182879</xdr:rowOff>
    </xdr:from>
    <xdr:to>
      <xdr:col>11</xdr:col>
      <xdr:colOff>0</xdr:colOff>
      <xdr:row>56</xdr:row>
      <xdr:rowOff>182879</xdr:rowOff>
    </xdr:to>
    <xdr:graphicFrame macro="">
      <xdr:nvGraphicFramePr>
        <xdr:cNvPr id="1380" name="CumulativeCPU_col30_parallel_command_6_3_0_523_127_67_1782816345856">
          <a:extLst>
            <a:ext uri="{FF2B5EF4-FFF2-40B4-BE49-F238E27FC236}">
              <a16:creationId xmlns:a16="http://schemas.microsoft.com/office/drawing/2014/main" id="{A0B28A0D-A547-582F-619F-6A50D59D1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609599</xdr:colOff>
      <xdr:row>35</xdr:row>
      <xdr:rowOff>182879</xdr:rowOff>
    </xdr:from>
    <xdr:to>
      <xdr:col>21</xdr:col>
      <xdr:colOff>609599</xdr:colOff>
      <xdr:row>56</xdr:row>
      <xdr:rowOff>182879</xdr:rowOff>
    </xdr:to>
    <xdr:graphicFrame macro="">
      <xdr:nvGraphicFramePr>
        <xdr:cNvPr id="1381" name="LatencyThrottle_parallel_command_6_3_0_523_127_67_1782816345856">
          <a:extLst>
            <a:ext uri="{FF2B5EF4-FFF2-40B4-BE49-F238E27FC236}">
              <a16:creationId xmlns:a16="http://schemas.microsoft.com/office/drawing/2014/main" id="{9191DA39-A344-D190-9654-899B310AE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59</xdr:row>
      <xdr:rowOff>182879</xdr:rowOff>
    </xdr:from>
    <xdr:to>
      <xdr:col>11</xdr:col>
      <xdr:colOff>0</xdr:colOff>
      <xdr:row>80</xdr:row>
      <xdr:rowOff>182879</xdr:rowOff>
    </xdr:to>
    <xdr:graphicFrame macro="">
      <xdr:nvGraphicFramePr>
        <xdr:cNvPr id="1382" name="CumulativeCPU_col45_simple_6_3_0_528_133_73_1782816345856">
          <a:extLst>
            <a:ext uri="{FF2B5EF4-FFF2-40B4-BE49-F238E27FC236}">
              <a16:creationId xmlns:a16="http://schemas.microsoft.com/office/drawing/2014/main" id="{A0A6B997-5CB9-3BBF-B667-7250FB4D1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609599</xdr:colOff>
      <xdr:row>59</xdr:row>
      <xdr:rowOff>182879</xdr:rowOff>
    </xdr:from>
    <xdr:to>
      <xdr:col>21</xdr:col>
      <xdr:colOff>609599</xdr:colOff>
      <xdr:row>80</xdr:row>
      <xdr:rowOff>182879</xdr:rowOff>
    </xdr:to>
    <xdr:graphicFrame macro="">
      <xdr:nvGraphicFramePr>
        <xdr:cNvPr id="1383" name="LatencyThrottle_simple_6_3_0_528_133_73_1782816345856">
          <a:extLst>
            <a:ext uri="{FF2B5EF4-FFF2-40B4-BE49-F238E27FC236}">
              <a16:creationId xmlns:a16="http://schemas.microsoft.com/office/drawing/2014/main" id="{0FC5B784-0BCD-076D-E9D3-2B00CC8A3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221\Documents\Codex\2026-06-29\vou-te-passar-um-excel-vais-2\outputs\choreography\Evolu&#231;&#227;o%20Testes%20Performance%20-%20choreography.xlsx" TargetMode="External"/><Relationship Id="rId1" Type="http://schemas.openxmlformats.org/officeDocument/2006/relationships/externalLinkPath" Target="file:///C:\Users\PC221\Documents\Codex\2026-06-29\vou-te-passar-um-excel-vais-2\outputs\choreography\Evolu&#231;&#227;o%20Testes%20Performance%20-%20choreograph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221\Documents\Codex\2026-06-19\vou-preencher-apenas-estas-4-folhas\outputs\Evolu&#231;&#227;o%20Testes%20Performance%20-%20Throttle%20M&#233;dias%20Corrigidas.xlsx" TargetMode="External"/><Relationship Id="rId1" Type="http://schemas.openxmlformats.org/officeDocument/2006/relationships/externalLinkPath" Target="file:///C:\Users\PC221\Documents\Codex\2026-06-19\vou-preencher-apenas-estas-4-folhas\outputs\Evolu&#231;&#227;o%20Testes%20Performance%20-%20Throttle%20M&#233;dias%20Corrigi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sc."/>
      <sheetName val="Core_mCPU"/>
      <sheetName val="Memory_MB"/>
      <sheetName val="Throttle_%"/>
      <sheetName val="Regression"/>
      <sheetName val="Compare"/>
    </sheetNames>
    <sheetDataSet>
      <sheetData sheetId="0" refreshError="1"/>
      <sheetData sheetId="1">
        <row r="62">
          <cell r="B62">
            <v>12.602014581058697</v>
          </cell>
          <cell r="C62">
            <v>1661.8082557510288</v>
          </cell>
          <cell r="D62">
            <v>172.43845816907626</v>
          </cell>
          <cell r="E62">
            <v>113.12822921642118</v>
          </cell>
          <cell r="F62">
            <v>107.12705589090649</v>
          </cell>
          <cell r="G62">
            <v>376.14668152083703</v>
          </cell>
          <cell r="H62">
            <v>545.47946234040023</v>
          </cell>
          <cell r="I62">
            <v>157.44204644862015</v>
          </cell>
        </row>
        <row r="63">
          <cell r="B63">
            <v>89.407931225735027</v>
          </cell>
          <cell r="C63">
            <v>2395.0245993769549</v>
          </cell>
          <cell r="D63">
            <v>637.90773585581644</v>
          </cell>
          <cell r="E63">
            <v>175.38579426049657</v>
          </cell>
          <cell r="F63">
            <v>180.86114579507876</v>
          </cell>
          <cell r="G63">
            <v>320.48502386687181</v>
          </cell>
          <cell r="H63">
            <v>601.33150858710485</v>
          </cell>
          <cell r="I63">
            <v>194.25977480633716</v>
          </cell>
        </row>
        <row r="64">
          <cell r="B64">
            <v>137.75518134715037</v>
          </cell>
          <cell r="C64">
            <v>2883.7157804071585</v>
          </cell>
          <cell r="D64">
            <v>971.72918621459326</v>
          </cell>
          <cell r="E64">
            <v>222.36989197007961</v>
          </cell>
          <cell r="F64">
            <v>211.40824801317348</v>
          </cell>
          <cell r="G64">
            <v>333.90199211175843</v>
          </cell>
          <cell r="H64">
            <v>667.31914011397134</v>
          </cell>
          <cell r="I64">
            <v>214.80471672563658</v>
          </cell>
        </row>
        <row r="65">
          <cell r="B65">
            <v>181.98923684352886</v>
          </cell>
          <cell r="C65">
            <v>3157.6969683102325</v>
          </cell>
          <cell r="D65">
            <v>1377.8907501257281</v>
          </cell>
          <cell r="E65">
            <v>265.09004458008411</v>
          </cell>
          <cell r="F65">
            <v>258.17515765606163</v>
          </cell>
          <cell r="G65">
            <v>348.53857185164094</v>
          </cell>
          <cell r="H65">
            <v>738.38180306750507</v>
          </cell>
          <cell r="I65">
            <v>232.48219448097288</v>
          </cell>
        </row>
        <row r="66">
          <cell r="B66">
            <v>208.48495486459447</v>
          </cell>
          <cell r="C66">
            <v>3228.6841421537238</v>
          </cell>
          <cell r="D66">
            <v>1577.7699028551131</v>
          </cell>
          <cell r="E66">
            <v>275.12521350852688</v>
          </cell>
          <cell r="F66">
            <v>274.3121508379889</v>
          </cell>
          <cell r="G66">
            <v>360.71206147605614</v>
          </cell>
          <cell r="H66">
            <v>841.93441877849727</v>
          </cell>
          <cell r="I66">
            <v>244.38795649045534</v>
          </cell>
        </row>
        <row r="67">
          <cell r="B67">
            <v>244.4420185822251</v>
          </cell>
          <cell r="C67">
            <v>3440.3615119418546</v>
          </cell>
          <cell r="D67">
            <v>1853.051911690462</v>
          </cell>
          <cell r="E67">
            <v>295.4857943712226</v>
          </cell>
          <cell r="F67">
            <v>293.92427726056286</v>
          </cell>
          <cell r="G67">
            <v>349.7959206729239</v>
          </cell>
          <cell r="H67">
            <v>953.58534722693616</v>
          </cell>
          <cell r="I67">
            <v>265.03322996429063</v>
          </cell>
        </row>
        <row r="68">
          <cell r="B68">
            <v>269.06453149620711</v>
          </cell>
          <cell r="C68">
            <v>3305.130318538012</v>
          </cell>
          <cell r="D68">
            <v>2179.7971896572935</v>
          </cell>
          <cell r="E68">
            <v>326.54624996684441</v>
          </cell>
          <cell r="F68">
            <v>322.49683507436532</v>
          </cell>
          <cell r="G68">
            <v>355.89571984133011</v>
          </cell>
          <cell r="H68">
            <v>1065.7116900670992</v>
          </cell>
          <cell r="I68">
            <v>275.66782108255177</v>
          </cell>
        </row>
        <row r="69">
          <cell r="B69">
            <v>307.71565363627025</v>
          </cell>
          <cell r="C69">
            <v>3613.8348888047535</v>
          </cell>
          <cell r="D69">
            <v>2350.8655945277283</v>
          </cell>
          <cell r="E69">
            <v>346.54830539989399</v>
          </cell>
          <cell r="F69">
            <v>343.62381138465616</v>
          </cell>
          <cell r="G69">
            <v>367.91687375892275</v>
          </cell>
          <cell r="H69">
            <v>1141.2298294482548</v>
          </cell>
          <cell r="I69">
            <v>292.52527076399258</v>
          </cell>
        </row>
        <row r="70">
          <cell r="B70">
            <v>330.7745688838354</v>
          </cell>
          <cell r="C70">
            <v>3723.6382820473154</v>
          </cell>
          <cell r="D70">
            <v>2609.9098324589604</v>
          </cell>
          <cell r="E70">
            <v>376.20876642345189</v>
          </cell>
          <cell r="F70">
            <v>381.88411883112315</v>
          </cell>
          <cell r="G70">
            <v>420.55452439280475</v>
          </cell>
          <cell r="H70">
            <v>1224.7764788808472</v>
          </cell>
          <cell r="I70">
            <v>309.67919394645992</v>
          </cell>
        </row>
        <row r="71">
          <cell r="B71">
            <v>352.1737781900402</v>
          </cell>
          <cell r="C71">
            <v>3743.0798301330688</v>
          </cell>
          <cell r="D71">
            <v>2985.5218731033215</v>
          </cell>
          <cell r="E71">
            <v>397.16865112651573</v>
          </cell>
          <cell r="F71">
            <v>388.58985274177797</v>
          </cell>
          <cell r="G71">
            <v>387.12434944403668</v>
          </cell>
          <cell r="H71">
            <v>1272.7536126606976</v>
          </cell>
          <cell r="I71">
            <v>319.42951147511951</v>
          </cell>
        </row>
        <row r="72">
          <cell r="B72">
            <v>363.2830355866796</v>
          </cell>
          <cell r="C72">
            <v>3999.9263644417497</v>
          </cell>
          <cell r="D72">
            <v>3126.599308441449</v>
          </cell>
          <cell r="E72">
            <v>420.68420428089138</v>
          </cell>
          <cell r="F72">
            <v>414.16753077480035</v>
          </cell>
          <cell r="G72">
            <v>385.13053791333192</v>
          </cell>
          <cell r="H72">
            <v>1376.3383037311439</v>
          </cell>
          <cell r="I72">
            <v>329.22213367229841</v>
          </cell>
        </row>
        <row r="73">
          <cell r="B73">
            <v>13.237429490950673</v>
          </cell>
          <cell r="C73">
            <v>1799.0293126819799</v>
          </cell>
          <cell r="D73">
            <v>171.49029202346262</v>
          </cell>
          <cell r="E73">
            <v>119.47128452027661</v>
          </cell>
          <cell r="F73">
            <v>107.87734347077338</v>
          </cell>
          <cell r="G73">
            <v>274.44303723881325</v>
          </cell>
          <cell r="H73">
            <v>559.51266797774338</v>
          </cell>
          <cell r="I73">
            <v>165.70743664565538</v>
          </cell>
        </row>
        <row r="74">
          <cell r="B74">
            <v>86.436338934995121</v>
          </cell>
          <cell r="C74">
            <v>2438.1854284416186</v>
          </cell>
          <cell r="D74">
            <v>642.14889496223259</v>
          </cell>
          <cell r="E74">
            <v>175.01661978082706</v>
          </cell>
          <cell r="F74">
            <v>178.64222006000122</v>
          </cell>
          <cell r="G74">
            <v>325.70052916730526</v>
          </cell>
          <cell r="H74">
            <v>648.81655853763107</v>
          </cell>
          <cell r="I74">
            <v>194.38481347953987</v>
          </cell>
        </row>
        <row r="75">
          <cell r="B75">
            <v>145.39543277821457</v>
          </cell>
          <cell r="C75">
            <v>2803.5659785090711</v>
          </cell>
          <cell r="D75">
            <v>983.11633903753818</v>
          </cell>
          <cell r="E75">
            <v>225.1140210559374</v>
          </cell>
          <cell r="F75">
            <v>220.46370400160936</v>
          </cell>
          <cell r="G75">
            <v>336.59497738576312</v>
          </cell>
          <cell r="H75">
            <v>669.51569461047961</v>
          </cell>
          <cell r="I75">
            <v>219.33258824496846</v>
          </cell>
        </row>
        <row r="76">
          <cell r="B76">
            <v>178.32356238459516</v>
          </cell>
          <cell r="C76">
            <v>3060.0641729715453</v>
          </cell>
          <cell r="D76">
            <v>1318.9720523737917</v>
          </cell>
          <cell r="E76">
            <v>250.55065734940547</v>
          </cell>
          <cell r="F76">
            <v>248.20992956933364</v>
          </cell>
          <cell r="G76">
            <v>346.53201081411089</v>
          </cell>
          <cell r="H76">
            <v>789.98048403339294</v>
          </cell>
          <cell r="I76">
            <v>255.49171252379926</v>
          </cell>
        </row>
        <row r="77">
          <cell r="B77">
            <v>212.18845341469154</v>
          </cell>
          <cell r="C77">
            <v>3063.202522815307</v>
          </cell>
          <cell r="D77">
            <v>1611.7187683475715</v>
          </cell>
          <cell r="E77">
            <v>285.23268185042377</v>
          </cell>
          <cell r="F77">
            <v>277.210127296449</v>
          </cell>
          <cell r="G77">
            <v>358.92908649518887</v>
          </cell>
          <cell r="H77">
            <v>859.66362732351502</v>
          </cell>
          <cell r="I77">
            <v>247.15409172269025</v>
          </cell>
        </row>
        <row r="78">
          <cell r="B78">
            <v>250.06547937217533</v>
          </cell>
          <cell r="C78">
            <v>3282.2203795241776</v>
          </cell>
          <cell r="D78">
            <v>1870.5475936643315</v>
          </cell>
          <cell r="E78">
            <v>298.42164948986112</v>
          </cell>
          <cell r="F78">
            <v>295.24969513199937</v>
          </cell>
          <cell r="G78">
            <v>361.89188620324683</v>
          </cell>
          <cell r="H78">
            <v>931.59276560705871</v>
          </cell>
          <cell r="I78">
            <v>263.98608956506598</v>
          </cell>
        </row>
        <row r="79">
          <cell r="B79">
            <v>279.02357945594059</v>
          </cell>
          <cell r="C79">
            <v>3593.3610440411826</v>
          </cell>
          <cell r="D79">
            <v>2120.0640706919012</v>
          </cell>
          <cell r="E79">
            <v>336.12532825837422</v>
          </cell>
          <cell r="F79">
            <v>327.757358790772</v>
          </cell>
          <cell r="G79">
            <v>359.69341441374672</v>
          </cell>
          <cell r="H79">
            <v>1012.5537816581269</v>
          </cell>
          <cell r="I79">
            <v>284.67559819792467</v>
          </cell>
        </row>
        <row r="80">
          <cell r="B80">
            <v>295.25943306141403</v>
          </cell>
          <cell r="C80">
            <v>3738.8955917419503</v>
          </cell>
          <cell r="D80">
            <v>2508.3553272209938</v>
          </cell>
          <cell r="E80">
            <v>352.80757916195358</v>
          </cell>
          <cell r="F80">
            <v>344.68971501197615</v>
          </cell>
          <cell r="G80">
            <v>364.5042474980786</v>
          </cell>
          <cell r="H80">
            <v>1128.1574050366034</v>
          </cell>
          <cell r="I80">
            <v>301.19157879187406</v>
          </cell>
        </row>
        <row r="81">
          <cell r="B81">
            <v>323.69660916121342</v>
          </cell>
          <cell r="C81">
            <v>3774.1335387125437</v>
          </cell>
          <cell r="D81">
            <v>2637.5975661286229</v>
          </cell>
          <cell r="E81">
            <v>373.38592754274816</v>
          </cell>
          <cell r="F81">
            <v>365.69161855464813</v>
          </cell>
          <cell r="G81">
            <v>426.03387167051403</v>
          </cell>
          <cell r="H81">
            <v>1214.7933032867209</v>
          </cell>
          <cell r="I81">
            <v>317.55329259622755</v>
          </cell>
        </row>
        <row r="82">
          <cell r="B82">
            <v>345.59187689202764</v>
          </cell>
          <cell r="C82">
            <v>3912.3360815194746</v>
          </cell>
          <cell r="D82">
            <v>3013.8510535328646</v>
          </cell>
          <cell r="E82">
            <v>404.67195192631772</v>
          </cell>
          <cell r="F82">
            <v>376.94046309463266</v>
          </cell>
          <cell r="G82">
            <v>396.80819056084272</v>
          </cell>
          <cell r="H82">
            <v>1246.1871047512718</v>
          </cell>
          <cell r="I82">
            <v>320.36283230549145</v>
          </cell>
        </row>
        <row r="83">
          <cell r="B83">
            <v>377.14364334914035</v>
          </cell>
          <cell r="C83">
            <v>3938.6246836839337</v>
          </cell>
          <cell r="D83">
            <v>3105.9017778430757</v>
          </cell>
          <cell r="E83">
            <v>398.9159701375612</v>
          </cell>
          <cell r="F83">
            <v>396.46735565934608</v>
          </cell>
          <cell r="G83">
            <v>419.33114057117194</v>
          </cell>
          <cell r="H83">
            <v>1360.8592659954822</v>
          </cell>
          <cell r="I83">
            <v>315.89012383329447</v>
          </cell>
        </row>
        <row r="84">
          <cell r="B84">
            <v>11.918272872653837</v>
          </cell>
          <cell r="C84">
            <v>1673.099504290399</v>
          </cell>
          <cell r="D84">
            <v>185.99206529131692</v>
          </cell>
          <cell r="E84">
            <v>117.18364778851819</v>
          </cell>
          <cell r="F84">
            <v>112.02410962445828</v>
          </cell>
          <cell r="G84">
            <v>280.70624012873623</v>
          </cell>
          <cell r="H84">
            <v>529.5244836274901</v>
          </cell>
          <cell r="I84">
            <v>172.1785379378365</v>
          </cell>
        </row>
        <row r="85">
          <cell r="B85">
            <v>86.281487598598773</v>
          </cell>
          <cell r="C85">
            <v>2553.5922386310049</v>
          </cell>
          <cell r="D85">
            <v>652.53903388943274</v>
          </cell>
          <cell r="E85">
            <v>186.84874094332625</v>
          </cell>
          <cell r="F85">
            <v>180.19353863904831</v>
          </cell>
          <cell r="G85">
            <v>320.10490583517594</v>
          </cell>
          <cell r="H85">
            <v>611.11549930021488</v>
          </cell>
          <cell r="I85">
            <v>195.0036067875304</v>
          </cell>
        </row>
        <row r="86">
          <cell r="B86">
            <v>136.46141869138609</v>
          </cell>
          <cell r="C86">
            <v>2855.3210882246071</v>
          </cell>
          <cell r="D86">
            <v>983.62339462256352</v>
          </cell>
          <cell r="E86">
            <v>219.78548969309304</v>
          </cell>
          <cell r="F86">
            <v>214.6882069795432</v>
          </cell>
          <cell r="G86">
            <v>343.83296438182498</v>
          </cell>
          <cell r="H86">
            <v>672.09139009581247</v>
          </cell>
          <cell r="I86">
            <v>218.24651710770675</v>
          </cell>
        </row>
        <row r="87">
          <cell r="B87">
            <v>181.54644361608715</v>
          </cell>
          <cell r="C87">
            <v>3113.9427480724316</v>
          </cell>
          <cell r="D87">
            <v>1350.3836717721263</v>
          </cell>
          <cell r="E87">
            <v>256.03530402153496</v>
          </cell>
          <cell r="F87">
            <v>252.44179443498027</v>
          </cell>
          <cell r="G87">
            <v>359.98960184178611</v>
          </cell>
          <cell r="H87">
            <v>799.42891619613738</v>
          </cell>
          <cell r="I87">
            <v>235.18837986502882</v>
          </cell>
        </row>
        <row r="88">
          <cell r="B88">
            <v>212.56697791344928</v>
          </cell>
          <cell r="C88">
            <v>3280.8969070711596</v>
          </cell>
          <cell r="D88">
            <v>1564.4584169988309</v>
          </cell>
          <cell r="E88">
            <v>278.49832641582248</v>
          </cell>
          <cell r="F88">
            <v>271.00682029137624</v>
          </cell>
          <cell r="G88">
            <v>347.28465873790822</v>
          </cell>
          <cell r="H88">
            <v>831.7009395275993</v>
          </cell>
          <cell r="I88">
            <v>242.87342394792591</v>
          </cell>
        </row>
        <row r="89">
          <cell r="B89">
            <v>238.70077930975447</v>
          </cell>
          <cell r="C89">
            <v>3203.8970926101229</v>
          </cell>
          <cell r="D89">
            <v>1853.1872516344065</v>
          </cell>
          <cell r="E89">
            <v>293.51807437346912</v>
          </cell>
          <cell r="F89">
            <v>306.11727495782912</v>
          </cell>
          <cell r="G89">
            <v>356.85013823727218</v>
          </cell>
          <cell r="H89">
            <v>887.39461709188322</v>
          </cell>
          <cell r="I89">
            <v>267.49354970768024</v>
          </cell>
        </row>
        <row r="90">
          <cell r="B90">
            <v>279.42150461548317</v>
          </cell>
          <cell r="C90">
            <v>3594.7529057285819</v>
          </cell>
          <cell r="D90">
            <v>2227.2096057503827</v>
          </cell>
          <cell r="E90">
            <v>335.57183431337916</v>
          </cell>
          <cell r="F90">
            <v>326.29881438164671</v>
          </cell>
          <cell r="G90">
            <v>357.06073679886259</v>
          </cell>
          <cell r="H90">
            <v>1054.8179142484203</v>
          </cell>
          <cell r="I90">
            <v>285.13547457815571</v>
          </cell>
        </row>
        <row r="91">
          <cell r="B91">
            <v>298.2325456678393</v>
          </cell>
          <cell r="C91">
            <v>3506.8326387388079</v>
          </cell>
          <cell r="D91">
            <v>2531.5456179041084</v>
          </cell>
          <cell r="E91">
            <v>349.20412336330287</v>
          </cell>
          <cell r="F91">
            <v>356.65338620922745</v>
          </cell>
          <cell r="G91">
            <v>368.18313976294985</v>
          </cell>
          <cell r="H91">
            <v>1136.7267194993351</v>
          </cell>
          <cell r="I91">
            <v>284.10925023388808</v>
          </cell>
        </row>
        <row r="92">
          <cell r="B92">
            <v>333.3883600761485</v>
          </cell>
          <cell r="C92">
            <v>3702.8598422483601</v>
          </cell>
          <cell r="D92">
            <v>2607.7240805206634</v>
          </cell>
          <cell r="E92">
            <v>375.55488659791001</v>
          </cell>
          <cell r="F92">
            <v>359.58683065127985</v>
          </cell>
          <cell r="G92">
            <v>385.94335686849581</v>
          </cell>
          <cell r="H92">
            <v>1170.1166883943968</v>
          </cell>
          <cell r="I92">
            <v>305.90796202962798</v>
          </cell>
        </row>
        <row r="93">
          <cell r="B93">
            <v>335.54656547850198</v>
          </cell>
          <cell r="C93">
            <v>3715.79894191208</v>
          </cell>
          <cell r="D93">
            <v>2953.5818384023992</v>
          </cell>
          <cell r="E93">
            <v>383.43275547103229</v>
          </cell>
          <cell r="F93">
            <v>403.10644608018322</v>
          </cell>
          <cell r="G93">
            <v>375.18660441313517</v>
          </cell>
          <cell r="H93">
            <v>1233.2750977947571</v>
          </cell>
          <cell r="I93">
            <v>331.5159915811434</v>
          </cell>
        </row>
        <row r="94">
          <cell r="B94">
            <v>372.33374282116642</v>
          </cell>
          <cell r="C94">
            <v>3892.3529470340386</v>
          </cell>
          <cell r="D94">
            <v>3193.7019724741622</v>
          </cell>
          <cell r="E94">
            <v>394.68136215569984</v>
          </cell>
          <cell r="F94">
            <v>417.4792022792011</v>
          </cell>
          <cell r="G94">
            <v>395.89429604437919</v>
          </cell>
          <cell r="H94">
            <v>1339.0330028646245</v>
          </cell>
          <cell r="I94">
            <v>328.25313526457745</v>
          </cell>
        </row>
        <row r="95">
          <cell r="B95">
            <v>5.6651973618798621</v>
          </cell>
          <cell r="C95">
            <v>1844.5832330653539</v>
          </cell>
          <cell r="D95">
            <v>177.03100562908816</v>
          </cell>
          <cell r="E95">
            <v>116.21518830522105</v>
          </cell>
          <cell r="F95">
            <v>119.01007248934388</v>
          </cell>
          <cell r="G95">
            <v>286.65562857350028</v>
          </cell>
          <cell r="H95">
            <v>524.11488454935989</v>
          </cell>
          <cell r="I95">
            <v>181.29396405346495</v>
          </cell>
        </row>
        <row r="96">
          <cell r="B96">
            <v>92.612463390823123</v>
          </cell>
          <cell r="C96">
            <v>3113.7377612470423</v>
          </cell>
          <cell r="D96">
            <v>866.44371510742769</v>
          </cell>
          <cell r="E96">
            <v>459.49223532807673</v>
          </cell>
          <cell r="F96">
            <v>451.94597082566276</v>
          </cell>
          <cell r="G96">
            <v>310.70726784478666</v>
          </cell>
          <cell r="H96">
            <v>573.95146983925235</v>
          </cell>
          <cell r="I96">
            <v>203.18405247972845</v>
          </cell>
        </row>
        <row r="97">
          <cell r="B97">
            <v>145.57629963804223</v>
          </cell>
          <cell r="C97">
            <v>3743.7507149594367</v>
          </cell>
          <cell r="D97">
            <v>1272.6760642517181</v>
          </cell>
          <cell r="E97">
            <v>641.10121827057435</v>
          </cell>
          <cell r="F97">
            <v>674.69326252084056</v>
          </cell>
          <cell r="G97">
            <v>326.37717830575718</v>
          </cell>
          <cell r="H97">
            <v>516.48202081299803</v>
          </cell>
          <cell r="I97">
            <v>225.31388740393754</v>
          </cell>
        </row>
        <row r="98">
          <cell r="B98">
            <v>187.56808076755846</v>
          </cell>
          <cell r="C98">
            <v>4482.9005236860185</v>
          </cell>
          <cell r="D98">
            <v>1706.8389143751886</v>
          </cell>
          <cell r="E98">
            <v>822.68969098441721</v>
          </cell>
          <cell r="F98">
            <v>799.80871203418269</v>
          </cell>
          <cell r="G98">
            <v>334.47944639677382</v>
          </cell>
          <cell r="H98">
            <v>563.00399492029999</v>
          </cell>
          <cell r="I98">
            <v>252.77166734715857</v>
          </cell>
        </row>
        <row r="99">
          <cell r="B99">
            <v>229.44281851882889</v>
          </cell>
          <cell r="C99">
            <v>4604.7226091442744</v>
          </cell>
          <cell r="D99">
            <v>2102.8699835526299</v>
          </cell>
          <cell r="E99">
            <v>995.40139370696909</v>
          </cell>
          <cell r="F99">
            <v>1047.7099204153751</v>
          </cell>
          <cell r="G99">
            <v>359.38232629831464</v>
          </cell>
          <cell r="H99">
            <v>578.50757795757272</v>
          </cell>
          <cell r="I99">
            <v>262.61072400462842</v>
          </cell>
        </row>
        <row r="100">
          <cell r="B100">
            <v>255.21239634965494</v>
          </cell>
          <cell r="C100">
            <v>4991.3303568216561</v>
          </cell>
          <cell r="D100">
            <v>2502.4319542839235</v>
          </cell>
          <cell r="E100">
            <v>1195.5310614262744</v>
          </cell>
          <cell r="F100">
            <v>1268.8695491773019</v>
          </cell>
          <cell r="G100">
            <v>431.64171951753576</v>
          </cell>
          <cell r="H100">
            <v>580.1122068254673</v>
          </cell>
          <cell r="I100">
            <v>275.98306253942263</v>
          </cell>
        </row>
        <row r="101">
          <cell r="B101">
            <v>296.80207893454548</v>
          </cell>
          <cell r="C101">
            <v>5418.4419959881961</v>
          </cell>
          <cell r="D101">
            <v>2803.6919820479307</v>
          </cell>
          <cell r="E101">
            <v>1354.1259205376002</v>
          </cell>
          <cell r="F101">
            <v>1387.7809211794192</v>
          </cell>
          <cell r="G101">
            <v>378.37056483514698</v>
          </cell>
          <cell r="H101">
            <v>569.50290225017829</v>
          </cell>
          <cell r="I101">
            <v>291.79505304424146</v>
          </cell>
        </row>
        <row r="102">
          <cell r="B102">
            <v>314.93179445539982</v>
          </cell>
          <cell r="C102">
            <v>5521.0987511361527</v>
          </cell>
          <cell r="D102">
            <v>3237.799563080282</v>
          </cell>
          <cell r="E102">
            <v>1489.4126896557302</v>
          </cell>
          <cell r="F102">
            <v>1524.389123757903</v>
          </cell>
          <cell r="G102">
            <v>383.39208405246245</v>
          </cell>
          <cell r="H102">
            <v>581.04875891954362</v>
          </cell>
          <cell r="I102">
            <v>290.83836501598518</v>
          </cell>
        </row>
        <row r="103">
          <cell r="B103">
            <v>352.86134916135859</v>
          </cell>
          <cell r="C103">
            <v>5608.3112702467297</v>
          </cell>
          <cell r="D103">
            <v>3564.1446831220846</v>
          </cell>
          <cell r="E103">
            <v>1732.3793837348205</v>
          </cell>
          <cell r="F103">
            <v>1568.1383918881224</v>
          </cell>
          <cell r="G103">
            <v>409.90574777933233</v>
          </cell>
          <cell r="H103">
            <v>581.42469976885036</v>
          </cell>
          <cell r="I103">
            <v>317.44802148435218</v>
          </cell>
        </row>
        <row r="104">
          <cell r="B104">
            <v>357.56141842552859</v>
          </cell>
          <cell r="C104">
            <v>5614.3457336243537</v>
          </cell>
          <cell r="D104">
            <v>3830.0662643828878</v>
          </cell>
          <cell r="E104">
            <v>1719.2315467675967</v>
          </cell>
          <cell r="F104">
            <v>1801.158951735036</v>
          </cell>
          <cell r="G104">
            <v>400.94064606412303</v>
          </cell>
          <cell r="H104">
            <v>583.88313874123116</v>
          </cell>
          <cell r="I104">
            <v>328.07736083048809</v>
          </cell>
        </row>
        <row r="105">
          <cell r="B105">
            <v>402.48175707362827</v>
          </cell>
          <cell r="C105">
            <v>5689.755228651843</v>
          </cell>
          <cell r="D105">
            <v>4169.5600940054883</v>
          </cell>
          <cell r="E105">
            <v>2012.5715114642423</v>
          </cell>
          <cell r="F105">
            <v>1982.2638064552584</v>
          </cell>
          <cell r="G105">
            <v>418.01306834965442</v>
          </cell>
          <cell r="H105">
            <v>548.57478280162411</v>
          </cell>
          <cell r="I105">
            <v>326.48406174686272</v>
          </cell>
        </row>
        <row r="106">
          <cell r="B106">
            <v>399.26685721709873</v>
          </cell>
          <cell r="C106">
            <v>5773.4607229597332</v>
          </cell>
          <cell r="D106">
            <v>4578.5641337575553</v>
          </cell>
          <cell r="E106">
            <v>1896.8880942795638</v>
          </cell>
          <cell r="F106">
            <v>2090.246778864313</v>
          </cell>
          <cell r="G106">
            <v>427.28165202461213</v>
          </cell>
          <cell r="H106">
            <v>502.47231736007092</v>
          </cell>
          <cell r="I106">
            <v>340.0406227677571</v>
          </cell>
        </row>
        <row r="107">
          <cell r="B107">
            <v>434.31385303384451</v>
          </cell>
          <cell r="C107">
            <v>5888.0599626755265</v>
          </cell>
          <cell r="D107">
            <v>4566.4454424852129</v>
          </cell>
          <cell r="E107">
            <v>2226.1124189626426</v>
          </cell>
          <cell r="F107">
            <v>2174.4997117047874</v>
          </cell>
          <cell r="G107">
            <v>425.76449586061278</v>
          </cell>
          <cell r="H107">
            <v>538.48216260000925</v>
          </cell>
          <cell r="I107">
            <v>352.0530095462255</v>
          </cell>
        </row>
        <row r="108">
          <cell r="B108">
            <v>461.39097262829591</v>
          </cell>
          <cell r="C108">
            <v>6058.2983752776618</v>
          </cell>
          <cell r="D108">
            <v>5017.5668491524275</v>
          </cell>
          <cell r="E108">
            <v>2411.6944349312162</v>
          </cell>
          <cell r="F108">
            <v>2403.8211459754407</v>
          </cell>
          <cell r="G108">
            <v>452.75491404329512</v>
          </cell>
          <cell r="H108">
            <v>555.07690440024066</v>
          </cell>
          <cell r="I108">
            <v>360.01107732404762</v>
          </cell>
        </row>
        <row r="109">
          <cell r="B109">
            <v>488.27140319715869</v>
          </cell>
          <cell r="C109">
            <v>5846.2442876339783</v>
          </cell>
          <cell r="D109">
            <v>5656.5473193175294</v>
          </cell>
          <cell r="E109">
            <v>2500.8666287692449</v>
          </cell>
          <cell r="F109">
            <v>2560.9041607974818</v>
          </cell>
          <cell r="G109">
            <v>457.71240280561187</v>
          </cell>
          <cell r="H109">
            <v>599.70666534434929</v>
          </cell>
          <cell r="I109">
            <v>379.01375257872832</v>
          </cell>
        </row>
        <row r="110">
          <cell r="B110">
            <v>6.0459357131819305</v>
          </cell>
          <cell r="C110">
            <v>363.86029932878455</v>
          </cell>
          <cell r="D110">
            <v>21.666497884191177</v>
          </cell>
          <cell r="E110">
            <v>20.678316514070655</v>
          </cell>
          <cell r="F110">
            <v>11.075374752521878</v>
          </cell>
          <cell r="G110">
            <v>35.588109645745149</v>
          </cell>
          <cell r="H110">
            <v>439.16805016315465</v>
          </cell>
          <cell r="I110">
            <v>197.12422162534128</v>
          </cell>
        </row>
        <row r="111">
          <cell r="B111">
            <v>86.270474208027622</v>
          </cell>
          <cell r="C111">
            <v>2053.4604804878736</v>
          </cell>
          <cell r="D111">
            <v>814.6560668831421</v>
          </cell>
          <cell r="E111">
            <v>362.75569380896764</v>
          </cell>
          <cell r="F111">
            <v>366.89170759283309</v>
          </cell>
          <cell r="G111">
            <v>31.599928312898871</v>
          </cell>
          <cell r="H111">
            <v>480.46612663900868</v>
          </cell>
          <cell r="I111">
            <v>231.833887198312</v>
          </cell>
        </row>
        <row r="112">
          <cell r="B112">
            <v>130.94244604316555</v>
          </cell>
          <cell r="C112">
            <v>2667.0265069389206</v>
          </cell>
          <cell r="D112">
            <v>1329.6492774057117</v>
          </cell>
          <cell r="E112">
            <v>882.17048621521201</v>
          </cell>
          <cell r="F112">
            <v>542.95480388629142</v>
          </cell>
          <cell r="G112">
            <v>38.00050460342576</v>
          </cell>
          <cell r="H112">
            <v>556.86269142907713</v>
          </cell>
          <cell r="I112">
            <v>256.7985795384181</v>
          </cell>
        </row>
        <row r="113">
          <cell r="B113">
            <v>168.33464610811862</v>
          </cell>
          <cell r="C113">
            <v>3116.435736873882</v>
          </cell>
          <cell r="D113">
            <v>1813.0897664427123</v>
          </cell>
          <cell r="E113">
            <v>867.89801161727473</v>
          </cell>
          <cell r="F113">
            <v>799.551783992286</v>
          </cell>
          <cell r="G113">
            <v>26.002474616550167</v>
          </cell>
          <cell r="H113">
            <v>548.34287920236204</v>
          </cell>
          <cell r="I113">
            <v>255.65187913076625</v>
          </cell>
        </row>
        <row r="114">
          <cell r="B114">
            <v>213.76414259893147</v>
          </cell>
          <cell r="C114">
            <v>3354.0726700052219</v>
          </cell>
          <cell r="D114">
            <v>2146.8528563185205</v>
          </cell>
          <cell r="E114">
            <v>958.56666274697784</v>
          </cell>
          <cell r="F114">
            <v>980.10515645947123</v>
          </cell>
          <cell r="G114">
            <v>32.271469830307389</v>
          </cell>
          <cell r="H114">
            <v>544.87894311408274</v>
          </cell>
          <cell r="I114">
            <v>273.03348461256832</v>
          </cell>
        </row>
        <row r="115">
          <cell r="B115">
            <v>227.83867101671211</v>
          </cell>
          <cell r="C115">
            <v>3501.0402549305609</v>
          </cell>
          <cell r="D115">
            <v>2325.8822491731007</v>
          </cell>
          <cell r="E115">
            <v>1532.2531715632808</v>
          </cell>
          <cell r="F115">
            <v>1138.4338009943467</v>
          </cell>
          <cell r="G115">
            <v>41.956425933411666</v>
          </cell>
          <cell r="H115">
            <v>529.26709701691334</v>
          </cell>
          <cell r="I115">
            <v>300.65451335978912</v>
          </cell>
        </row>
        <row r="116">
          <cell r="B116">
            <v>258.60649366180314</v>
          </cell>
          <cell r="C116">
            <v>4027.9725843700144</v>
          </cell>
          <cell r="D116">
            <v>2674.9283392071679</v>
          </cell>
          <cell r="E116">
            <v>1263.0049028348121</v>
          </cell>
          <cell r="F116">
            <v>1271.8395554020519</v>
          </cell>
          <cell r="G116">
            <v>28.048529057355861</v>
          </cell>
          <cell r="H116">
            <v>554.80315735169393</v>
          </cell>
          <cell r="I116">
            <v>300.36501800933371</v>
          </cell>
        </row>
        <row r="117">
          <cell r="B117">
            <v>283.84583367788508</v>
          </cell>
          <cell r="C117">
            <v>4183.8979538356489</v>
          </cell>
          <cell r="D117">
            <v>3030.1947662489329</v>
          </cell>
          <cell r="E117">
            <v>1384.799280091335</v>
          </cell>
          <cell r="F117">
            <v>1327.8506382418709</v>
          </cell>
          <cell r="G117">
            <v>42.315275650955684</v>
          </cell>
          <cell r="H117">
            <v>524.20302423582064</v>
          </cell>
          <cell r="I117">
            <v>312.66093768949219</v>
          </cell>
        </row>
        <row r="118">
          <cell r="B118">
            <v>311.77674642878719</v>
          </cell>
          <cell r="C118">
            <v>4240.6735129607277</v>
          </cell>
          <cell r="D118">
            <v>3279.7486456192833</v>
          </cell>
          <cell r="E118">
            <v>1554.3739135976525</v>
          </cell>
          <cell r="F118">
            <v>1545.3684463107325</v>
          </cell>
          <cell r="G118">
            <v>46.216242789589877</v>
          </cell>
          <cell r="H118">
            <v>580.76771938716718</v>
          </cell>
          <cell r="I118">
            <v>331.04982023671323</v>
          </cell>
        </row>
        <row r="119">
          <cell r="B119">
            <v>336.88880010653833</v>
          </cell>
          <cell r="C119">
            <v>4428.61076945677</v>
          </cell>
          <cell r="D119">
            <v>3703.2862019838171</v>
          </cell>
          <cell r="E119">
            <v>1637.0489418509562</v>
          </cell>
          <cell r="F119">
            <v>1635.375213562889</v>
          </cell>
          <cell r="G119">
            <v>27.639809870983306</v>
          </cell>
          <cell r="H119">
            <v>505.79347134835882</v>
          </cell>
          <cell r="I119">
            <v>331.30302168529136</v>
          </cell>
        </row>
        <row r="120">
          <cell r="B120">
            <v>346.99277794730949</v>
          </cell>
          <cell r="C120">
            <v>4390.8565754775855</v>
          </cell>
          <cell r="D120">
            <v>3680.9886944988561</v>
          </cell>
          <cell r="E120">
            <v>1764.5267963883982</v>
          </cell>
          <cell r="F120">
            <v>1656.9774038461528</v>
          </cell>
          <cell r="G120">
            <v>25.83554679995164</v>
          </cell>
          <cell r="H120">
            <v>545.4694559375946</v>
          </cell>
          <cell r="I120">
            <v>344.58603898832303</v>
          </cell>
        </row>
      </sheetData>
      <sheetData sheetId="2" refreshError="1"/>
      <sheetData sheetId="3">
        <row r="2">
          <cell r="B2">
            <v>0</v>
          </cell>
          <cell r="C2">
            <v>17.117117117117115</v>
          </cell>
          <cell r="D2">
            <v>0.22480329711502436</v>
          </cell>
          <cell r="E2">
            <v>0</v>
          </cell>
          <cell r="F2">
            <v>3.6363636363636362E-2</v>
          </cell>
          <cell r="G2">
            <v>0</v>
          </cell>
          <cell r="H2">
            <v>16.594694632942627</v>
          </cell>
          <cell r="I2">
            <v>0</v>
          </cell>
          <cell r="J2" t="str">
            <v>-</v>
          </cell>
          <cell r="K2" t="str">
            <v>-</v>
          </cell>
          <cell r="L2" t="str">
            <v>-</v>
          </cell>
          <cell r="M2" t="str">
            <v>-</v>
          </cell>
          <cell r="N2" t="str">
            <v>-</v>
          </cell>
          <cell r="O2" t="str">
            <v>-</v>
          </cell>
          <cell r="P2" t="str">
            <v>-</v>
          </cell>
          <cell r="Q2" t="str">
            <v>-</v>
          </cell>
          <cell r="R2" t="str">
            <v>-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-</v>
          </cell>
          <cell r="Y2" t="str">
            <v>-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</row>
        <row r="3">
          <cell r="B3">
            <v>0</v>
          </cell>
          <cell r="C3">
            <v>16.135558927668185</v>
          </cell>
          <cell r="D3">
            <v>0.18839487565938207</v>
          </cell>
          <cell r="E3">
            <v>0</v>
          </cell>
          <cell r="F3">
            <v>7.7011936850211779E-2</v>
          </cell>
          <cell r="G3">
            <v>0</v>
          </cell>
          <cell r="H3">
            <v>16.141001855287566</v>
          </cell>
          <cell r="I3">
            <v>0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</row>
        <row r="4">
          <cell r="B4">
            <v>3.7369207772795218E-2</v>
          </cell>
          <cell r="C4">
            <v>16.897506925207757</v>
          </cell>
          <cell r="D4">
            <v>0.95895665515918671</v>
          </cell>
          <cell r="E4">
            <v>0.18181818181818185</v>
          </cell>
          <cell r="F4">
            <v>7.160759040458288E-2</v>
          </cell>
          <cell r="G4">
            <v>0</v>
          </cell>
          <cell r="H4">
            <v>17.017438364401684</v>
          </cell>
          <cell r="I4">
            <v>0</v>
          </cell>
          <cell r="J4" t="str">
            <v>-</v>
          </cell>
          <cell r="K4" t="str">
            <v>-</v>
          </cell>
          <cell r="L4" t="str">
            <v>-</v>
          </cell>
          <cell r="M4" t="str">
            <v>-</v>
          </cell>
          <cell r="N4" t="str">
            <v>-</v>
          </cell>
          <cell r="O4" t="str">
            <v>-</v>
          </cell>
          <cell r="P4" t="str">
            <v>-</v>
          </cell>
          <cell r="Q4" t="str">
            <v>-</v>
          </cell>
          <cell r="R4" t="str">
            <v>-</v>
          </cell>
          <cell r="S4" t="str">
            <v>-</v>
          </cell>
          <cell r="T4" t="str">
            <v>-</v>
          </cell>
          <cell r="U4" t="str">
            <v>-</v>
          </cell>
          <cell r="V4" t="str">
            <v>-</v>
          </cell>
          <cell r="W4" t="str">
            <v>-</v>
          </cell>
          <cell r="X4" t="str">
            <v>-</v>
          </cell>
          <cell r="Y4" t="str">
            <v>-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</row>
        <row r="5">
          <cell r="B5">
            <v>3.6630036630036632E-2</v>
          </cell>
          <cell r="C5">
            <v>16.134453781512605</v>
          </cell>
          <cell r="D5">
            <v>3.2834731849689893</v>
          </cell>
          <cell r="E5">
            <v>0.42253521126760568</v>
          </cell>
          <cell r="F5">
            <v>0.22684310018903589</v>
          </cell>
          <cell r="G5">
            <v>0</v>
          </cell>
          <cell r="H5">
            <v>17.341430499325238</v>
          </cell>
          <cell r="I5">
            <v>0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</row>
        <row r="6">
          <cell r="B6">
            <v>0.68519223448800914</v>
          </cell>
          <cell r="C6">
            <v>16.990005878894767</v>
          </cell>
          <cell r="D6">
            <v>4.1929499072356213</v>
          </cell>
          <cell r="E6">
            <v>3.0706622271550126</v>
          </cell>
          <cell r="F6">
            <v>2.3230088495575223</v>
          </cell>
          <cell r="G6">
            <v>0</v>
          </cell>
          <cell r="H6">
            <v>0</v>
          </cell>
          <cell r="I6">
            <v>0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</row>
        <row r="7">
          <cell r="B7">
            <v>0</v>
          </cell>
          <cell r="C7">
            <v>7.268934120477982</v>
          </cell>
          <cell r="D7">
            <v>0</v>
          </cell>
          <cell r="E7">
            <v>0</v>
          </cell>
          <cell r="F7">
            <v>0</v>
          </cell>
          <cell r="G7" t="str">
            <v>-</v>
          </cell>
          <cell r="H7">
            <v>0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>
            <v>0</v>
          </cell>
          <cell r="R7">
            <v>0</v>
          </cell>
          <cell r="S7">
            <v>0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-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</row>
        <row r="8">
          <cell r="B8">
            <v>0.34168564920273348</v>
          </cell>
          <cell r="C8">
            <v>8.1193982309730774</v>
          </cell>
          <cell r="D8">
            <v>0</v>
          </cell>
          <cell r="E8">
            <v>0.1039501039501039</v>
          </cell>
          <cell r="F8">
            <v>0.29017047515415312</v>
          </cell>
          <cell r="G8" t="str">
            <v>-</v>
          </cell>
          <cell r="H8">
            <v>2.8431707039690661E-2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>
            <v>0</v>
          </cell>
          <cell r="R8">
            <v>0</v>
          </cell>
          <cell r="S8">
            <v>0</v>
          </cell>
          <cell r="T8" t="str">
            <v>-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-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</row>
        <row r="9">
          <cell r="B9">
            <v>0.4285714285714286</v>
          </cell>
          <cell r="C9">
            <v>7.7296568538898258</v>
          </cell>
          <cell r="D9">
            <v>0</v>
          </cell>
          <cell r="E9">
            <v>0.36390101892285298</v>
          </cell>
          <cell r="F9">
            <v>0.62339567290062348</v>
          </cell>
          <cell r="G9" t="str">
            <v>-</v>
          </cell>
          <cell r="H9">
            <v>5.4911636439380768E-2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>
            <v>0</v>
          </cell>
          <cell r="R9">
            <v>0</v>
          </cell>
          <cell r="S9">
            <v>0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</row>
        <row r="10">
          <cell r="B10">
            <v>0.78154075176777071</v>
          </cell>
          <cell r="C10">
            <v>8.2579065130404619</v>
          </cell>
          <cell r="D10">
            <v>0</v>
          </cell>
          <cell r="E10">
            <v>0.63861758076634112</v>
          </cell>
          <cell r="F10">
            <v>1.228592702903947</v>
          </cell>
          <cell r="G10" t="str">
            <v>-</v>
          </cell>
          <cell r="H10">
            <v>6.19565198300151E-2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-</v>
          </cell>
          <cell r="Q10">
            <v>0</v>
          </cell>
          <cell r="R10">
            <v>0</v>
          </cell>
          <cell r="S10">
            <v>0</v>
          </cell>
          <cell r="T10" t="str">
            <v>-</v>
          </cell>
          <cell r="U10" t="str">
            <v>-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</row>
        <row r="11">
          <cell r="B11">
            <v>0.61491160645657184</v>
          </cell>
          <cell r="C11">
            <v>8.3261613308587368</v>
          </cell>
          <cell r="D11">
            <v>0</v>
          </cell>
          <cell r="E11">
            <v>0.28591851322373119</v>
          </cell>
          <cell r="F11">
            <v>0.5941329372447085</v>
          </cell>
          <cell r="G11" t="str">
            <v>-</v>
          </cell>
          <cell r="H11">
            <v>6.2753384712437299E-2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>
            <v>0</v>
          </cell>
          <cell r="R11">
            <v>0</v>
          </cell>
          <cell r="S11">
            <v>0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</row>
        <row r="12">
          <cell r="B12">
            <v>0.2986188876446435</v>
          </cell>
          <cell r="C12">
            <v>8.009181851641026</v>
          </cell>
          <cell r="D12">
            <v>0</v>
          </cell>
          <cell r="E12">
            <v>0.221157390342794</v>
          </cell>
          <cell r="F12">
            <v>0.90466249130132215</v>
          </cell>
          <cell r="G12" t="str">
            <v>-</v>
          </cell>
          <cell r="H12">
            <v>6.8004080244814677E-2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>
            <v>0</v>
          </cell>
          <cell r="R12">
            <v>0</v>
          </cell>
          <cell r="S12">
            <v>0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</row>
        <row r="13">
          <cell r="B13">
            <v>0.4600141542816702</v>
          </cell>
          <cell r="C13">
            <v>8.4065779203827109</v>
          </cell>
          <cell r="D13">
            <v>3.8654812524159261E-2</v>
          </cell>
          <cell r="E13">
            <v>0.21715526601520091</v>
          </cell>
          <cell r="F13">
            <v>2.0477815699658701</v>
          </cell>
          <cell r="G13" t="str">
            <v>-</v>
          </cell>
          <cell r="H13">
            <v>7.4316233629871456E-2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>
            <v>0</v>
          </cell>
          <cell r="R13">
            <v>0</v>
          </cell>
          <cell r="S13">
            <v>0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</row>
        <row r="14">
          <cell r="B14">
            <v>0.6906579425663395</v>
          </cell>
          <cell r="C14">
            <v>8.6623438093098688</v>
          </cell>
          <cell r="D14">
            <v>3.580379520229144E-2</v>
          </cell>
          <cell r="E14">
            <v>0.4195270785659802</v>
          </cell>
          <cell r="F14">
            <v>2.385389489377562</v>
          </cell>
          <cell r="G14" t="str">
            <v>-</v>
          </cell>
          <cell r="H14">
            <v>8.7272515843944409E-2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>
            <v>0</v>
          </cell>
          <cell r="R14">
            <v>0</v>
          </cell>
          <cell r="S14">
            <v>0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</row>
        <row r="15">
          <cell r="B15">
            <v>0.58884655351576032</v>
          </cell>
          <cell r="C15">
            <v>8.5553579752497466</v>
          </cell>
          <cell r="D15">
            <v>3.843197540353574E-2</v>
          </cell>
          <cell r="E15">
            <v>0.86385625431928137</v>
          </cell>
          <cell r="F15">
            <v>3.9548022598870061</v>
          </cell>
          <cell r="G15" t="str">
            <v>-</v>
          </cell>
          <cell r="H15">
            <v>0.1061372348144534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>
            <v>0</v>
          </cell>
          <cell r="R15">
            <v>0</v>
          </cell>
          <cell r="S15">
            <v>0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</row>
        <row r="16">
          <cell r="B16">
            <v>0.55555555555555547</v>
          </cell>
          <cell r="C16">
            <v>9.1281562927673097</v>
          </cell>
          <cell r="D16">
            <v>3.717472118959108E-2</v>
          </cell>
          <cell r="E16">
            <v>0.34039334341906202</v>
          </cell>
          <cell r="F16">
            <v>3.5262552702184751</v>
          </cell>
          <cell r="G16" t="str">
            <v>-</v>
          </cell>
          <cell r="H16">
            <v>0.1182927408409966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>
            <v>0</v>
          </cell>
          <cell r="R16">
            <v>0</v>
          </cell>
          <cell r="S16">
            <v>0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</row>
        <row r="17">
          <cell r="B17">
            <v>1.0475121586232701</v>
          </cell>
          <cell r="C17">
            <v>8.2578552178089115</v>
          </cell>
          <cell r="D17">
            <v>0.15203344735841889</v>
          </cell>
          <cell r="E17">
            <v>1.172465960665658</v>
          </cell>
          <cell r="F17">
            <v>3.553835327234343</v>
          </cell>
          <cell r="G17" t="str">
            <v>-</v>
          </cell>
          <cell r="H17">
            <v>0.1799397770742362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>
            <v>0</v>
          </cell>
          <cell r="R17">
            <v>0</v>
          </cell>
          <cell r="S17">
            <v>0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</row>
        <row r="18">
          <cell r="B18">
            <v>0</v>
          </cell>
          <cell r="C18">
            <v>7.1524352033577303</v>
          </cell>
          <cell r="D18">
            <v>0</v>
          </cell>
          <cell r="E18">
            <v>0</v>
          </cell>
          <cell r="F18">
            <v>0</v>
          </cell>
          <cell r="G18" t="str">
            <v>-</v>
          </cell>
          <cell r="H18">
            <v>0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>
            <v>0</v>
          </cell>
          <cell r="R18">
            <v>0</v>
          </cell>
          <cell r="S18">
            <v>0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</row>
        <row r="19">
          <cell r="B19">
            <v>0.5064277366575769</v>
          </cell>
          <cell r="C19">
            <v>8.0872770707466568</v>
          </cell>
          <cell r="D19">
            <v>0</v>
          </cell>
          <cell r="E19">
            <v>0.13874436351023239</v>
          </cell>
          <cell r="F19">
            <v>0.18368846436443789</v>
          </cell>
          <cell r="G19" t="str">
            <v>-</v>
          </cell>
          <cell r="H19">
            <v>0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>
            <v>0</v>
          </cell>
          <cell r="R19">
            <v>0</v>
          </cell>
          <cell r="S19">
            <v>0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</row>
        <row r="20">
          <cell r="B20">
            <v>0.2479631597591215</v>
          </cell>
          <cell r="C20">
            <v>8.4127798349189984</v>
          </cell>
          <cell r="D20">
            <v>0</v>
          </cell>
          <cell r="E20">
            <v>0.44776119402985082</v>
          </cell>
          <cell r="F20">
            <v>0.52025269416573761</v>
          </cell>
          <cell r="G20" t="str">
            <v>-</v>
          </cell>
          <cell r="H20">
            <v>0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>
            <v>0</v>
          </cell>
          <cell r="R20">
            <v>0</v>
          </cell>
          <cell r="S20">
            <v>0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</row>
        <row r="21">
          <cell r="B21">
            <v>0.41039671682626538</v>
          </cell>
          <cell r="C21">
            <v>8.3144214151666631</v>
          </cell>
          <cell r="D21">
            <v>0</v>
          </cell>
          <cell r="E21">
            <v>0.55473372781065089</v>
          </cell>
          <cell r="F21">
            <v>0.73133179368745183</v>
          </cell>
          <cell r="G21" t="str">
            <v>-</v>
          </cell>
          <cell r="H21">
            <v>5.8867593636477518E-3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>
            <v>0</v>
          </cell>
          <cell r="R21">
            <v>0</v>
          </cell>
          <cell r="S21">
            <v>0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</row>
        <row r="22">
          <cell r="B22">
            <v>0.29940119760479039</v>
          </cell>
          <cell r="C22">
            <v>8.3965816973879672</v>
          </cell>
          <cell r="D22">
            <v>3.7565740045078892E-2</v>
          </cell>
          <cell r="E22">
            <v>0.53333333333333333</v>
          </cell>
          <cell r="F22">
            <v>1.679171132547338</v>
          </cell>
          <cell r="G22" t="str">
            <v>-</v>
          </cell>
          <cell r="H22">
            <v>1.2750352130797209E-2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>
            <v>0</v>
          </cell>
          <cell r="R22">
            <v>0</v>
          </cell>
          <cell r="S22">
            <v>0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</row>
        <row r="23">
          <cell r="B23">
            <v>0.37064492216456629</v>
          </cell>
          <cell r="C23">
            <v>8.1161988352540195</v>
          </cell>
          <cell r="D23">
            <v>0</v>
          </cell>
          <cell r="E23">
            <v>0.14942099364960779</v>
          </cell>
          <cell r="F23">
            <v>3.4116755117513269</v>
          </cell>
          <cell r="G23" t="str">
            <v>-</v>
          </cell>
          <cell r="H23">
            <v>6.393044367727912E-3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>
            <v>0</v>
          </cell>
          <cell r="R23">
            <v>0</v>
          </cell>
          <cell r="S23">
            <v>0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</row>
        <row r="24">
          <cell r="B24">
            <v>0.63424947145877375</v>
          </cell>
          <cell r="C24">
            <v>8.2839332227922586</v>
          </cell>
          <cell r="D24">
            <v>0</v>
          </cell>
          <cell r="E24">
            <v>0.4686373467916366</v>
          </cell>
          <cell r="F24">
            <v>6.5804488398630658</v>
          </cell>
          <cell r="G24" t="str">
            <v>-</v>
          </cell>
          <cell r="H24">
            <v>1.9033117624666921E-2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>
            <v>0</v>
          </cell>
          <cell r="R24">
            <v>0</v>
          </cell>
          <cell r="S24">
            <v>0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</row>
        <row r="25">
          <cell r="B25">
            <v>0.46197583511016349</v>
          </cell>
          <cell r="C25">
            <v>8.7531890867806066</v>
          </cell>
          <cell r="D25">
            <v>0</v>
          </cell>
          <cell r="E25">
            <v>0.74990626171728525</v>
          </cell>
          <cell r="F25">
            <v>12.19068413391558</v>
          </cell>
          <cell r="G25" t="str">
            <v>-</v>
          </cell>
          <cell r="H25">
            <v>3.010597302504817E-2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>
            <v>0</v>
          </cell>
          <cell r="R25">
            <v>0</v>
          </cell>
          <cell r="S25">
            <v>0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</row>
        <row r="26">
          <cell r="B26">
            <v>0.84839542604205098</v>
          </cell>
          <cell r="C26">
            <v>8.370307300728399</v>
          </cell>
          <cell r="D26">
            <v>8.1300813008130079E-2</v>
          </cell>
          <cell r="E26">
            <v>0.1940240589833139</v>
          </cell>
          <cell r="F26">
            <v>26.595744680851059</v>
          </cell>
          <cell r="G26" t="str">
            <v>-</v>
          </cell>
          <cell r="H26">
            <v>5.6342697513855317E-2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>
            <v>0</v>
          </cell>
          <cell r="R26">
            <v>0</v>
          </cell>
          <cell r="S26">
            <v>0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</row>
        <row r="27">
          <cell r="B27">
            <v>0.38699690402476777</v>
          </cell>
          <cell r="C27">
            <v>9.1928961532545639</v>
          </cell>
          <cell r="D27">
            <v>0.11385199240986719</v>
          </cell>
          <cell r="E27">
            <v>0.38088642659279781</v>
          </cell>
          <cell r="F27">
            <v>33.851535172949873</v>
          </cell>
          <cell r="G27" t="str">
            <v>-</v>
          </cell>
          <cell r="H27">
            <v>2.9202124170339142E-2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>
            <v>0</v>
          </cell>
          <cell r="R27">
            <v>0</v>
          </cell>
          <cell r="S27">
            <v>0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</row>
        <row r="28">
          <cell r="B28">
            <v>0.33695245226506931</v>
          </cell>
          <cell r="C28">
            <v>8.8665486007996126</v>
          </cell>
          <cell r="D28">
            <v>0.1139817629179331</v>
          </cell>
          <cell r="E28">
            <v>0.55440055440055436</v>
          </cell>
          <cell r="F28">
            <v>47.230538922155702</v>
          </cell>
          <cell r="G28" t="str">
            <v>-</v>
          </cell>
          <cell r="H28">
            <v>0.1667916229319738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>
            <v>0</v>
          </cell>
          <cell r="R28">
            <v>0</v>
          </cell>
          <cell r="S28">
            <v>0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</row>
        <row r="29">
          <cell r="B29">
            <v>0</v>
          </cell>
          <cell r="C29">
            <v>7.8599191538234514</v>
          </cell>
          <cell r="D29">
            <v>0</v>
          </cell>
          <cell r="E29">
            <v>0</v>
          </cell>
          <cell r="F29">
            <v>0</v>
          </cell>
          <cell r="G29" t="str">
            <v>-</v>
          </cell>
          <cell r="H29">
            <v>0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>
            <v>0</v>
          </cell>
          <cell r="R29">
            <v>0</v>
          </cell>
          <cell r="S29">
            <v>0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</row>
        <row r="30">
          <cell r="B30">
            <v>0.61151079136690645</v>
          </cell>
          <cell r="C30">
            <v>8.1722101067180741</v>
          </cell>
          <cell r="D30">
            <v>3.4090043587978888E-2</v>
          </cell>
          <cell r="E30">
            <v>0.26465028355387521</v>
          </cell>
          <cell r="F30">
            <v>0.29271862422246619</v>
          </cell>
          <cell r="G30" t="str">
            <v>-</v>
          </cell>
          <cell r="H30">
            <v>0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>
            <v>0</v>
          </cell>
          <cell r="R30">
            <v>0</v>
          </cell>
          <cell r="S30">
            <v>0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</row>
        <row r="31">
          <cell r="B31">
            <v>0.18484288354898329</v>
          </cell>
          <cell r="C31">
            <v>8.2467720231210944</v>
          </cell>
          <cell r="D31">
            <v>0</v>
          </cell>
          <cell r="E31">
            <v>0.22514071294559099</v>
          </cell>
          <cell r="F31">
            <v>0.351123595505618</v>
          </cell>
          <cell r="G31" t="str">
            <v>-</v>
          </cell>
          <cell r="H31">
            <v>0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>
            <v>0</v>
          </cell>
          <cell r="R31">
            <v>0</v>
          </cell>
          <cell r="S31">
            <v>0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</row>
        <row r="32">
          <cell r="B32">
            <v>0.38924274593064401</v>
          </cell>
          <cell r="C32">
            <v>7.8642906286681553</v>
          </cell>
          <cell r="D32">
            <v>3.575742276715952E-2</v>
          </cell>
          <cell r="E32">
            <v>0.57208237986270016</v>
          </cell>
          <cell r="F32">
            <v>0.66030814380044023</v>
          </cell>
          <cell r="G32" t="str">
            <v>-</v>
          </cell>
          <cell r="H32">
            <v>5.927601345806663E-3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>
            <v>0</v>
          </cell>
          <cell r="R32">
            <v>0</v>
          </cell>
          <cell r="S32">
            <v>0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</row>
        <row r="33">
          <cell r="B33">
            <v>0.42129452317119881</v>
          </cell>
          <cell r="C33">
            <v>8.5089899106665658</v>
          </cell>
          <cell r="D33">
            <v>0</v>
          </cell>
          <cell r="E33">
            <v>0.62827225130890063</v>
          </cell>
          <cell r="F33">
            <v>0.1799208348326736</v>
          </cell>
          <cell r="G33" t="str">
            <v>-</v>
          </cell>
          <cell r="H33">
            <v>0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>
            <v>0</v>
          </cell>
          <cell r="R33">
            <v>0</v>
          </cell>
          <cell r="S33">
            <v>0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</row>
        <row r="34">
          <cell r="B34">
            <v>0.30591434398368461</v>
          </cell>
          <cell r="C34">
            <v>8.307713239236266</v>
          </cell>
          <cell r="D34">
            <v>0</v>
          </cell>
          <cell r="E34">
            <v>0.30441400304414001</v>
          </cell>
          <cell r="F34">
            <v>0.6280014776505356</v>
          </cell>
          <cell r="G34" t="str">
            <v>-</v>
          </cell>
          <cell r="H34">
            <v>1.1439029970258519E-2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>
            <v>0</v>
          </cell>
          <cell r="R34">
            <v>0</v>
          </cell>
          <cell r="S34">
            <v>0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</row>
        <row r="35">
          <cell r="B35">
            <v>0.57265569076592704</v>
          </cell>
          <cell r="C35">
            <v>8.152262451831513</v>
          </cell>
          <cell r="D35">
            <v>0</v>
          </cell>
          <cell r="E35">
            <v>0.29706646862235431</v>
          </cell>
          <cell r="F35">
            <v>0.61661225970257527</v>
          </cell>
          <cell r="G35" t="str">
            <v>-</v>
          </cell>
          <cell r="H35">
            <v>0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>
            <v>0</v>
          </cell>
          <cell r="R35">
            <v>0</v>
          </cell>
          <cell r="S35">
            <v>0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</row>
        <row r="36">
          <cell r="B36">
            <v>0.62753783684016251</v>
          </cell>
          <cell r="C36">
            <v>8.5999740310328292</v>
          </cell>
          <cell r="D36">
            <v>0</v>
          </cell>
          <cell r="E36">
            <v>0.29433406916850618</v>
          </cell>
          <cell r="F36">
            <v>0.84808259587020662</v>
          </cell>
          <cell r="G36" t="str">
            <v>-</v>
          </cell>
          <cell r="H36">
            <v>3.572704537334763E-2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>
            <v>0</v>
          </cell>
          <cell r="R36">
            <v>0</v>
          </cell>
          <cell r="S36">
            <v>0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</row>
        <row r="37">
          <cell r="B37">
            <v>0.3007518796992481</v>
          </cell>
          <cell r="C37">
            <v>8.5402178053194095</v>
          </cell>
          <cell r="D37">
            <v>6.8493150684931503E-2</v>
          </cell>
          <cell r="E37">
            <v>0.72051573758058396</v>
          </cell>
          <cell r="F37">
            <v>0.90266875981161698</v>
          </cell>
          <cell r="G37" t="str">
            <v>-</v>
          </cell>
          <cell r="H37">
            <v>3.1257814453613399E-2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>
            <v>0</v>
          </cell>
          <cell r="R37">
            <v>0</v>
          </cell>
          <cell r="S37">
            <v>0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</row>
        <row r="38">
          <cell r="B38">
            <v>0.18968133535660089</v>
          </cell>
          <cell r="C38">
            <v>8.4657636949612662</v>
          </cell>
          <cell r="D38">
            <v>6.9808027923211169E-2</v>
          </cell>
          <cell r="E38">
            <v>1.3387876534027521</v>
          </cell>
          <cell r="F38">
            <v>0.4854368932038835</v>
          </cell>
          <cell r="G38" t="str">
            <v>-</v>
          </cell>
          <cell r="H38">
            <v>7.5159714393085303E-2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>
            <v>0</v>
          </cell>
          <cell r="R38">
            <v>0</v>
          </cell>
          <cell r="S38">
            <v>0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</row>
        <row r="39">
          <cell r="B39">
            <v>0.10940919037199121</v>
          </cell>
          <cell r="C39">
            <v>8.7510351313930688</v>
          </cell>
          <cell r="D39">
            <v>0.14301036825169819</v>
          </cell>
          <cell r="E39">
            <v>0.54221533694810231</v>
          </cell>
          <cell r="F39">
            <v>1.592002961865975</v>
          </cell>
          <cell r="G39" t="str">
            <v>-</v>
          </cell>
          <cell r="H39">
            <v>0.15220700152207001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>
            <v>0</v>
          </cell>
          <cell r="R39">
            <v>0</v>
          </cell>
          <cell r="S39">
            <v>0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</row>
        <row r="40">
          <cell r="B40">
            <v>0</v>
          </cell>
          <cell r="C40">
            <v>7.4069799959172302</v>
          </cell>
          <cell r="D40">
            <v>0</v>
          </cell>
          <cell r="E40">
            <v>0</v>
          </cell>
          <cell r="F40">
            <v>0</v>
          </cell>
          <cell r="G40" t="str">
            <v>-</v>
          </cell>
          <cell r="H40">
            <v>0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>
            <v>0</v>
          </cell>
          <cell r="R40">
            <v>0</v>
          </cell>
          <cell r="S40">
            <v>0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</row>
        <row r="41">
          <cell r="B41">
            <v>0.62939651980747879</v>
          </cell>
          <cell r="C41">
            <v>7.8626261125127392</v>
          </cell>
          <cell r="D41">
            <v>0</v>
          </cell>
          <cell r="E41">
            <v>0.21629416005767849</v>
          </cell>
          <cell r="F41">
            <v>0.32028469750889682</v>
          </cell>
          <cell r="G41" t="str">
            <v>-</v>
          </cell>
          <cell r="H41">
            <v>0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>
            <v>0</v>
          </cell>
          <cell r="R41">
            <v>0</v>
          </cell>
          <cell r="S41">
            <v>0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</row>
        <row r="42">
          <cell r="B42">
            <v>0.37864445285876558</v>
          </cell>
          <cell r="C42">
            <v>8.3560862423747455</v>
          </cell>
          <cell r="D42">
            <v>0</v>
          </cell>
          <cell r="E42">
            <v>0.44994375703037121</v>
          </cell>
          <cell r="F42">
            <v>0.2583979328165375</v>
          </cell>
          <cell r="G42" t="str">
            <v>-</v>
          </cell>
          <cell r="H42">
            <v>0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>
            <v>0</v>
          </cell>
          <cell r="R42">
            <v>0</v>
          </cell>
          <cell r="S42">
            <v>0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</row>
        <row r="43">
          <cell r="B43">
            <v>0.17452006980802789</v>
          </cell>
          <cell r="C43">
            <v>8.0955021299401704</v>
          </cell>
          <cell r="D43">
            <v>0</v>
          </cell>
          <cell r="E43">
            <v>0.32327586206896552</v>
          </cell>
          <cell r="F43">
            <v>0.76642335766423353</v>
          </cell>
          <cell r="G43" t="str">
            <v>-</v>
          </cell>
          <cell r="H43">
            <v>0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>
            <v>0</v>
          </cell>
          <cell r="R43">
            <v>0</v>
          </cell>
          <cell r="S43">
            <v>0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</row>
        <row r="44">
          <cell r="B44">
            <v>0.30828516377649329</v>
          </cell>
          <cell r="C44">
            <v>8.3707761581812381</v>
          </cell>
          <cell r="D44">
            <v>0</v>
          </cell>
          <cell r="E44">
            <v>0.62066447608616282</v>
          </cell>
          <cell r="F44">
            <v>0.69444444444444442</v>
          </cell>
          <cell r="G44" t="str">
            <v>-</v>
          </cell>
          <cell r="H44">
            <v>0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>
            <v>0</v>
          </cell>
          <cell r="R44">
            <v>0</v>
          </cell>
          <cell r="S44">
            <v>0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</row>
        <row r="45">
          <cell r="B45">
            <v>0.6331340133661626</v>
          </cell>
          <cell r="C45">
            <v>8.1864776880982166</v>
          </cell>
          <cell r="D45">
            <v>0</v>
          </cell>
          <cell r="E45">
            <v>0.66396163777203976</v>
          </cell>
          <cell r="F45">
            <v>1.0589481115425341</v>
          </cell>
          <cell r="G45" t="str">
            <v>-</v>
          </cell>
          <cell r="H45">
            <v>0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>
            <v>0</v>
          </cell>
          <cell r="R45">
            <v>0</v>
          </cell>
          <cell r="S45">
            <v>0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</row>
        <row r="46">
          <cell r="B46">
            <v>0.42536736272235121</v>
          </cell>
          <cell r="C46">
            <v>8.6717936482778484</v>
          </cell>
          <cell r="D46">
            <v>3.5050823694356817E-2</v>
          </cell>
          <cell r="E46">
            <v>0.84095063985374774</v>
          </cell>
          <cell r="F46">
            <v>1.4399393709738539</v>
          </cell>
          <cell r="G46" t="str">
            <v>-</v>
          </cell>
          <cell r="H46">
            <v>1.828940986257074E-2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>
            <v>0</v>
          </cell>
          <cell r="R46">
            <v>0</v>
          </cell>
          <cell r="S46">
            <v>0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</row>
        <row r="47">
          <cell r="B47">
            <v>0.55741360089186176</v>
          </cell>
          <cell r="C47">
            <v>8.1265770403979225</v>
          </cell>
          <cell r="D47">
            <v>0</v>
          </cell>
          <cell r="E47">
            <v>0.61433447098976102</v>
          </cell>
          <cell r="F47">
            <v>1.256077795786062</v>
          </cell>
          <cell r="G47" t="str">
            <v>-</v>
          </cell>
          <cell r="H47">
            <v>2.4682216463038378E-2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>
            <v>0</v>
          </cell>
          <cell r="R47">
            <v>0</v>
          </cell>
          <cell r="S47">
            <v>0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</row>
        <row r="48">
          <cell r="B48">
            <v>0.54367524465386008</v>
          </cell>
          <cell r="C48">
            <v>8.3392934277625823</v>
          </cell>
          <cell r="D48">
            <v>0</v>
          </cell>
          <cell r="E48">
            <v>0.85046066619418847</v>
          </cell>
          <cell r="F48">
            <v>1.191806331471136</v>
          </cell>
          <cell r="G48" t="str">
            <v>-</v>
          </cell>
          <cell r="H48">
            <v>5.6767030937789002E-2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>
            <v>0</v>
          </cell>
          <cell r="R48">
            <v>0</v>
          </cell>
          <cell r="S48">
            <v>0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</row>
        <row r="49">
          <cell r="B49">
            <v>0.41888804265041879</v>
          </cell>
          <cell r="C49">
            <v>8.0749313628838717</v>
          </cell>
          <cell r="D49">
            <v>7.7519379844961239E-2</v>
          </cell>
          <cell r="E49">
            <v>0.76558512577469917</v>
          </cell>
          <cell r="F49">
            <v>1.9103600293901539</v>
          </cell>
          <cell r="G49" t="str">
            <v>-</v>
          </cell>
          <cell r="H49">
            <v>6.2375249500998008E-2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>
            <v>0</v>
          </cell>
          <cell r="R49">
            <v>0</v>
          </cell>
          <cell r="S49">
            <v>0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</row>
        <row r="50">
          <cell r="B50">
            <v>6.9565217391304349E-2</v>
          </cell>
          <cell r="C50">
            <v>8.8127182381849831</v>
          </cell>
          <cell r="D50">
            <v>0.10266940451745379</v>
          </cell>
          <cell r="E50">
            <v>0.74766355140186913</v>
          </cell>
          <cell r="F50">
            <v>3.4048348655090219</v>
          </cell>
          <cell r="G50" t="str">
            <v>-</v>
          </cell>
          <cell r="H50">
            <v>0.21111491498345311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>
            <v>0</v>
          </cell>
          <cell r="R50">
            <v>0</v>
          </cell>
          <cell r="S50">
            <v>0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</row>
        <row r="51">
          <cell r="B51">
            <v>0</v>
          </cell>
          <cell r="C51">
            <v>7.4323012625180072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str">
            <v>-</v>
          </cell>
          <cell r="J51">
            <v>11.176048518200709</v>
          </cell>
          <cell r="K51">
            <v>5.6580736659655333</v>
          </cell>
          <cell r="L51">
            <v>5.4627816033877838</v>
          </cell>
          <cell r="M51">
            <v>0</v>
          </cell>
          <cell r="N51" t="str">
            <v>-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</row>
        <row r="52">
          <cell r="B52">
            <v>0.67618332081141996</v>
          </cell>
          <cell r="C52">
            <v>7.2584265325704989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 t="str">
            <v>-</v>
          </cell>
          <cell r="J52">
            <v>6.1205718738134927</v>
          </cell>
          <cell r="K52">
            <v>6.0599737080645273</v>
          </cell>
          <cell r="L52">
            <v>9.594734015833474</v>
          </cell>
          <cell r="M52">
            <v>0</v>
          </cell>
          <cell r="N52" t="str">
            <v>-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</row>
        <row r="53">
          <cell r="B53">
            <v>1.0180995475113122</v>
          </cell>
          <cell r="C53">
            <v>7.1676183367376867</v>
          </cell>
          <cell r="D53">
            <v>0</v>
          </cell>
          <cell r="E53">
            <v>7.716049382716049E-2</v>
          </cell>
          <cell r="F53">
            <v>0</v>
          </cell>
          <cell r="G53">
            <v>0</v>
          </cell>
          <cell r="H53">
            <v>0</v>
          </cell>
          <cell r="I53" t="str">
            <v>-</v>
          </cell>
          <cell r="J53">
            <v>5.9494550337432397</v>
          </cell>
          <cell r="K53">
            <v>9.668944767988334</v>
          </cell>
          <cell r="L53">
            <v>5.8844552084814881</v>
          </cell>
          <cell r="M53">
            <v>0</v>
          </cell>
          <cell r="N53" t="str">
            <v>-</v>
          </cell>
          <cell r="O53">
            <v>7.716049382716049E-2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</row>
        <row r="54">
          <cell r="B54">
            <v>0.53991515618974162</v>
          </cell>
          <cell r="C54">
            <v>7.5530225335205969</v>
          </cell>
          <cell r="D54">
            <v>0</v>
          </cell>
          <cell r="E54">
            <v>0.14471780028943562</v>
          </cell>
          <cell r="F54">
            <v>0</v>
          </cell>
          <cell r="G54">
            <v>0</v>
          </cell>
          <cell r="H54">
            <v>0</v>
          </cell>
          <cell r="I54" t="str">
            <v>-</v>
          </cell>
          <cell r="J54">
            <v>6.2738470957628714</v>
          </cell>
          <cell r="K54">
            <v>6.0842792626482742</v>
          </cell>
          <cell r="L54">
            <v>10.300941242150648</v>
          </cell>
          <cell r="M54">
            <v>0</v>
          </cell>
          <cell r="N54" t="str">
            <v>-</v>
          </cell>
          <cell r="O54">
            <v>0.14471780028943562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 t="str">
            <v>-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</row>
        <row r="55">
          <cell r="B55">
            <v>1.1741682974559686</v>
          </cell>
          <cell r="C55">
            <v>7.4265366664294064</v>
          </cell>
          <cell r="D55">
            <v>0</v>
          </cell>
          <cell r="E55">
            <v>0.37481259370314846</v>
          </cell>
          <cell r="F55">
            <v>6.9589422407794019E-2</v>
          </cell>
          <cell r="G55">
            <v>0</v>
          </cell>
          <cell r="H55">
            <v>0</v>
          </cell>
          <cell r="I55" t="str">
            <v>-</v>
          </cell>
          <cell r="J55">
            <v>6.6565583837131417</v>
          </cell>
          <cell r="K55">
            <v>6.2074799200404369</v>
          </cell>
          <cell r="L55">
            <v>9.4155716955346431</v>
          </cell>
          <cell r="M55">
            <v>0</v>
          </cell>
          <cell r="N55" t="str">
            <v>-</v>
          </cell>
          <cell r="O55">
            <v>0.37481259370314846</v>
          </cell>
          <cell r="P55">
            <v>6.9589422407794019E-2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 t="str">
            <v>-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</row>
        <row r="56">
          <cell r="B56">
            <v>1.6332590942835934</v>
          </cell>
          <cell r="C56">
            <v>7.7983476841057167</v>
          </cell>
          <cell r="D56">
            <v>0</v>
          </cell>
          <cell r="E56">
            <v>0.11890606420927466</v>
          </cell>
          <cell r="F56">
            <v>0.26070763500931099</v>
          </cell>
          <cell r="G56">
            <v>0</v>
          </cell>
          <cell r="H56">
            <v>0</v>
          </cell>
          <cell r="I56" t="str">
            <v>-</v>
          </cell>
          <cell r="J56">
            <v>6.6382659709417338</v>
          </cell>
          <cell r="K56">
            <v>7.0094021038891148</v>
          </cell>
          <cell r="L56">
            <v>9.7473749774863006</v>
          </cell>
          <cell r="M56">
            <v>0</v>
          </cell>
          <cell r="N56" t="str">
            <v>-</v>
          </cell>
          <cell r="O56">
            <v>0.11890606420927466</v>
          </cell>
          <cell r="P56">
            <v>0.26070763500931099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 t="str">
            <v>-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</row>
        <row r="57">
          <cell r="B57">
            <v>1.4264264264264264</v>
          </cell>
          <cell r="C57">
            <v>7.3459077560375041</v>
          </cell>
          <cell r="D57">
            <v>0</v>
          </cell>
          <cell r="E57">
            <v>0.41739130434782606</v>
          </cell>
          <cell r="F57">
            <v>0.21134202183867559</v>
          </cell>
          <cell r="G57">
            <v>0</v>
          </cell>
          <cell r="H57">
            <v>0</v>
          </cell>
          <cell r="I57" t="str">
            <v>-</v>
          </cell>
          <cell r="J57">
            <v>6.3376606915640288</v>
          </cell>
          <cell r="K57">
            <v>8.9613180148957881</v>
          </cell>
          <cell r="L57">
            <v>6.7387445616526955</v>
          </cell>
          <cell r="M57">
            <v>0</v>
          </cell>
          <cell r="N57" t="str">
            <v>-</v>
          </cell>
          <cell r="O57">
            <v>0.41739130434782606</v>
          </cell>
          <cell r="P57">
            <v>0.21134202183867559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</row>
        <row r="58">
          <cell r="B58">
            <v>1.0992907801418439</v>
          </cell>
          <cell r="C58">
            <v>7.62086421624051</v>
          </cell>
          <cell r="D58">
            <v>0</v>
          </cell>
          <cell r="E58">
            <v>3.7050759540570584E-2</v>
          </cell>
          <cell r="F58">
            <v>0.56732223903177004</v>
          </cell>
          <cell r="G58">
            <v>0</v>
          </cell>
          <cell r="H58">
            <v>0</v>
          </cell>
          <cell r="I58" t="str">
            <v>-</v>
          </cell>
          <cell r="J58">
            <v>6.8092814311256475</v>
          </cell>
          <cell r="K58">
            <v>6.3452961493270967</v>
          </cell>
          <cell r="L58">
            <v>9.7080150682687858</v>
          </cell>
          <cell r="M58">
            <v>0</v>
          </cell>
          <cell r="N58" t="str">
            <v>-</v>
          </cell>
          <cell r="O58">
            <v>3.7050759540570584E-2</v>
          </cell>
          <cell r="P58">
            <v>0.56732223903177004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</row>
        <row r="59">
          <cell r="B59">
            <v>1.044776119402985</v>
          </cell>
          <cell r="C59">
            <v>7.3919468944008058</v>
          </cell>
          <cell r="D59">
            <v>0</v>
          </cell>
          <cell r="E59">
            <v>0.55643879173290933</v>
          </cell>
          <cell r="F59">
            <v>0.76213397513036507</v>
          </cell>
          <cell r="G59">
            <v>0</v>
          </cell>
          <cell r="H59">
            <v>0</v>
          </cell>
          <cell r="I59" t="str">
            <v>-</v>
          </cell>
          <cell r="J59">
            <v>6.4391384982912889</v>
          </cell>
          <cell r="K59">
            <v>8.5909132207632144</v>
          </cell>
          <cell r="L59">
            <v>7.1457889641479113</v>
          </cell>
          <cell r="M59">
            <v>0</v>
          </cell>
          <cell r="N59" t="str">
            <v>-</v>
          </cell>
          <cell r="O59">
            <v>0.55643879173290933</v>
          </cell>
          <cell r="P59">
            <v>0.76213397513036507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</row>
        <row r="60">
          <cell r="B60">
            <v>0.9233239662786028</v>
          </cell>
          <cell r="C60">
            <v>7.8663052278602779</v>
          </cell>
          <cell r="D60">
            <v>0</v>
          </cell>
          <cell r="E60">
            <v>0.80882352941176472</v>
          </cell>
          <cell r="F60">
            <v>0.48721071863580995</v>
          </cell>
          <cell r="G60">
            <v>0</v>
          </cell>
          <cell r="H60">
            <v>0</v>
          </cell>
          <cell r="I60" t="str">
            <v>-</v>
          </cell>
          <cell r="J60">
            <v>9.754515257994834</v>
          </cell>
          <cell r="K60">
            <v>7.1004375199793879</v>
          </cell>
          <cell r="L60">
            <v>6.7439629056066126</v>
          </cell>
          <cell r="M60">
            <v>0</v>
          </cell>
          <cell r="N60" t="str">
            <v>-</v>
          </cell>
          <cell r="O60">
            <v>0.80882352941176472</v>
          </cell>
          <cell r="P60">
            <v>0.48721071863580995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</row>
        <row r="61">
          <cell r="B61">
            <v>1.1219688744118712</v>
          </cell>
          <cell r="C61">
            <v>7.8850778121039893</v>
          </cell>
          <cell r="D61">
            <v>0</v>
          </cell>
          <cell r="E61">
            <v>0.61633281972265019</v>
          </cell>
          <cell r="F61">
            <v>0.63837776943297042</v>
          </cell>
          <cell r="G61">
            <v>0</v>
          </cell>
          <cell r="H61">
            <v>0</v>
          </cell>
          <cell r="I61" t="str">
            <v>-</v>
          </cell>
          <cell r="J61">
            <v>6.7327893986487393</v>
          </cell>
          <cell r="K61">
            <v>9.8080102816541057</v>
          </cell>
          <cell r="L61">
            <v>7.1144337560091184</v>
          </cell>
          <cell r="M61">
            <v>0</v>
          </cell>
          <cell r="N61" t="str">
            <v>-</v>
          </cell>
          <cell r="O61">
            <v>0.61633281972265019</v>
          </cell>
          <cell r="P61">
            <v>0.63837776943297042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 t="str">
            <v>-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</row>
        <row r="62">
          <cell r="B62">
            <v>0</v>
          </cell>
          <cell r="C62">
            <v>7.5339928476078413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str">
            <v>-</v>
          </cell>
          <cell r="J62">
            <v>6.3557222349913491</v>
          </cell>
          <cell r="K62">
            <v>10.271433724482907</v>
          </cell>
          <cell r="L62">
            <v>5.9748225833492645</v>
          </cell>
          <cell r="M62">
            <v>0</v>
          </cell>
          <cell r="N62" t="str">
            <v>-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 t="str">
            <v>-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</row>
        <row r="63">
          <cell r="B63">
            <v>0</v>
          </cell>
          <cell r="C63">
            <v>7.1824516903885707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str">
            <v>-</v>
          </cell>
          <cell r="J63">
            <v>6.4702568305864139</v>
          </cell>
          <cell r="K63">
            <v>9.3704110822247824</v>
          </cell>
          <cell r="L63">
            <v>5.7066871583545167</v>
          </cell>
          <cell r="M63">
            <v>0</v>
          </cell>
          <cell r="N63" t="str">
            <v>-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</row>
        <row r="64">
          <cell r="B64">
            <v>0</v>
          </cell>
          <cell r="C64">
            <v>7.8148218739184898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str">
            <v>-</v>
          </cell>
          <cell r="J64">
            <v>6.7712287251278394</v>
          </cell>
          <cell r="K64">
            <v>5.999212379381416</v>
          </cell>
          <cell r="L64">
            <v>10.674024517246213</v>
          </cell>
          <cell r="M64">
            <v>0</v>
          </cell>
          <cell r="N64" t="str">
            <v>-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</row>
        <row r="65">
          <cell r="B65">
            <v>0</v>
          </cell>
          <cell r="C65">
            <v>7.5007520967341206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str">
            <v>-</v>
          </cell>
          <cell r="J65">
            <v>6.6331227207716834</v>
          </cell>
          <cell r="K65">
            <v>6.1860900307611848</v>
          </cell>
          <cell r="L65">
            <v>9.6830435386694926</v>
          </cell>
          <cell r="M65">
            <v>0</v>
          </cell>
          <cell r="N65" t="str">
            <v>-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</row>
        <row r="66">
          <cell r="B66">
            <v>0</v>
          </cell>
          <cell r="C66">
            <v>7.5673945520037362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str">
            <v>-</v>
          </cell>
          <cell r="J66">
            <v>6.8533255711032721</v>
          </cell>
          <cell r="K66">
            <v>6.2597721510028848</v>
          </cell>
          <cell r="L66">
            <v>9.5890859339050483</v>
          </cell>
          <cell r="M66">
            <v>0</v>
          </cell>
          <cell r="N66" t="str">
            <v>-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</row>
        <row r="67">
          <cell r="B67">
            <v>0</v>
          </cell>
          <cell r="C67">
            <v>7.5200966179535982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str">
            <v>-</v>
          </cell>
          <cell r="J67">
            <v>5.9649963259473626</v>
          </cell>
          <cell r="K67">
            <v>6.6585640627373994</v>
          </cell>
          <cell r="L67">
            <v>9.9367294651760325</v>
          </cell>
          <cell r="M67">
            <v>0</v>
          </cell>
          <cell r="N67" t="str">
            <v>-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</row>
        <row r="68">
          <cell r="B68">
            <v>0</v>
          </cell>
          <cell r="C68">
            <v>7.1831332271970965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 t="str">
            <v>-</v>
          </cell>
          <cell r="J68">
            <v>5.7774708870130898</v>
          </cell>
          <cell r="K68">
            <v>6.4032522890536026</v>
          </cell>
          <cell r="L68">
            <v>9.3686765055245971</v>
          </cell>
          <cell r="M68">
            <v>0</v>
          </cell>
          <cell r="N68" t="str">
            <v>-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</row>
        <row r="69">
          <cell r="B69">
            <v>0</v>
          </cell>
          <cell r="C69">
            <v>7.6708812580581922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 t="str">
            <v>-</v>
          </cell>
          <cell r="J69">
            <v>6.5415560800775925</v>
          </cell>
          <cell r="K69">
            <v>10.453330117458986</v>
          </cell>
          <cell r="L69">
            <v>6.0177575766379992</v>
          </cell>
          <cell r="M69">
            <v>0</v>
          </cell>
          <cell r="N69" t="str">
            <v>-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</row>
        <row r="70">
          <cell r="B70">
            <v>0</v>
          </cell>
          <cell r="C70">
            <v>7.5905038217414385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 t="str">
            <v>-</v>
          </cell>
          <cell r="J70">
            <v>6.6630733331300718</v>
          </cell>
          <cell r="K70">
            <v>10.022736434960811</v>
          </cell>
          <cell r="L70">
            <v>6.0857016971334295</v>
          </cell>
          <cell r="M70">
            <v>0</v>
          </cell>
          <cell r="N70" t="str">
            <v>-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</row>
        <row r="71">
          <cell r="B71">
            <v>3.6764705882352942E-2</v>
          </cell>
          <cell r="C71">
            <v>7.8758999258501392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 t="str">
            <v>-</v>
          </cell>
          <cell r="J71">
            <v>10.125924124310661</v>
          </cell>
          <cell r="K71">
            <v>6.734650753472768</v>
          </cell>
          <cell r="L71">
            <v>6.7671248997669906</v>
          </cell>
          <cell r="M71">
            <v>0</v>
          </cell>
          <cell r="N71" t="str">
            <v>-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</row>
        <row r="72">
          <cell r="B72">
            <v>0</v>
          </cell>
          <cell r="C72">
            <v>7.7768138220797987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 t="str">
            <v>-</v>
          </cell>
          <cell r="J72">
            <v>6.0691820357368282</v>
          </cell>
          <cell r="K72">
            <v>6.4423594223889689</v>
          </cell>
          <cell r="L72">
            <v>10.818900008113598</v>
          </cell>
          <cell r="M72">
            <v>0</v>
          </cell>
          <cell r="N72" t="str">
            <v>-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</row>
        <row r="73">
          <cell r="B73">
            <v>0</v>
          </cell>
          <cell r="C73">
            <v>7.1378598947672467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 t="str">
            <v>-</v>
          </cell>
          <cell r="J73">
            <v>5.9243095267915775</v>
          </cell>
          <cell r="K73">
            <v>9.8188073480542943</v>
          </cell>
          <cell r="L73">
            <v>5.67046280945587</v>
          </cell>
          <cell r="M73">
            <v>0</v>
          </cell>
          <cell r="N73" t="str">
            <v>-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</row>
        <row r="74">
          <cell r="B74">
            <v>0</v>
          </cell>
          <cell r="C74">
            <v>7.3801939402664596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 t="str">
            <v>-</v>
          </cell>
          <cell r="J74">
            <v>5.6887431681155789</v>
          </cell>
          <cell r="K74">
            <v>10.464726907874034</v>
          </cell>
          <cell r="L74">
            <v>5.9871117448097655</v>
          </cell>
          <cell r="M74">
            <v>0</v>
          </cell>
          <cell r="N74" t="str">
            <v>-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</row>
        <row r="75">
          <cell r="B75">
            <v>0</v>
          </cell>
          <cell r="C75">
            <v>7.4661679434214934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 t="str">
            <v>-</v>
          </cell>
          <cell r="J75">
            <v>6.65597964954351</v>
          </cell>
          <cell r="K75">
            <v>9.9828352387336725</v>
          </cell>
          <cell r="L75">
            <v>5.7596889419873003</v>
          </cell>
          <cell r="M75">
            <v>0</v>
          </cell>
          <cell r="N75" t="str">
            <v>-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</row>
        <row r="76">
          <cell r="B76">
            <v>0</v>
          </cell>
          <cell r="C76">
            <v>7.6428761167697195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 t="str">
            <v>-</v>
          </cell>
          <cell r="J76">
            <v>6.1784712752583815</v>
          </cell>
          <cell r="K76">
            <v>6.5454550160998091</v>
          </cell>
          <cell r="L76">
            <v>10.204702058950968</v>
          </cell>
          <cell r="M76">
            <v>0</v>
          </cell>
          <cell r="N76" t="str">
            <v>-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</row>
        <row r="77">
          <cell r="B77">
            <v>0</v>
          </cell>
          <cell r="C77">
            <v>7.3645560873605618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 t="str">
            <v>-</v>
          </cell>
          <cell r="J77">
            <v>5.8330569801447307</v>
          </cell>
          <cell r="K77">
            <v>10.160128333645613</v>
          </cell>
          <cell r="L77">
            <v>6.1004829482913401</v>
          </cell>
          <cell r="M77">
            <v>0</v>
          </cell>
          <cell r="N77" t="str">
            <v>-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</row>
        <row r="78">
          <cell r="B78">
            <v>0</v>
          </cell>
          <cell r="C78">
            <v>7.6332675790958682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 t="str">
            <v>-</v>
          </cell>
          <cell r="J78">
            <v>6.7599654335624209</v>
          </cell>
          <cell r="K78">
            <v>10.095774779237958</v>
          </cell>
          <cell r="L78">
            <v>6.0440625244872264</v>
          </cell>
          <cell r="M78">
            <v>0</v>
          </cell>
          <cell r="N78" t="str">
            <v>-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</row>
        <row r="79">
          <cell r="B79">
            <v>0</v>
          </cell>
          <cell r="C79">
            <v>7.42906091604765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 t="str">
            <v>-</v>
          </cell>
          <cell r="J79">
            <v>6.4254981010009606</v>
          </cell>
          <cell r="K79">
            <v>9.4549585327592762</v>
          </cell>
          <cell r="L79">
            <v>6.4067261143827148</v>
          </cell>
          <cell r="M79">
            <v>0</v>
          </cell>
          <cell r="N79" t="str">
            <v>-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</row>
        <row r="80">
          <cell r="B80">
            <v>0</v>
          </cell>
          <cell r="C80">
            <v>7.6047838212783558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 t="str">
            <v>-</v>
          </cell>
          <cell r="J80">
            <v>6.5262629743317833</v>
          </cell>
          <cell r="K80">
            <v>9.7091171280506554</v>
          </cell>
          <cell r="L80">
            <v>6.578971361452628</v>
          </cell>
          <cell r="M80">
            <v>0</v>
          </cell>
          <cell r="N80" t="str">
            <v>-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</row>
        <row r="81">
          <cell r="B81">
            <v>3.7467216185837392E-2</v>
          </cell>
          <cell r="C81">
            <v>7.6297276481505323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 t="str">
            <v>-</v>
          </cell>
          <cell r="J81">
            <v>6.6807423522745788</v>
          </cell>
          <cell r="K81">
            <v>6.485347386446394</v>
          </cell>
          <cell r="L81">
            <v>9.7230932057306259</v>
          </cell>
          <cell r="M81">
            <v>0</v>
          </cell>
          <cell r="N81" t="str">
            <v>-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</row>
        <row r="82">
          <cell r="B82">
            <v>0</v>
          </cell>
          <cell r="C82">
            <v>7.4628820364116466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 t="str">
            <v>-</v>
          </cell>
          <cell r="J82">
            <v>6.4959546854494326</v>
          </cell>
          <cell r="K82">
            <v>9.2681180351340959</v>
          </cell>
          <cell r="L82">
            <v>6.6245733886514122</v>
          </cell>
          <cell r="M82">
            <v>0</v>
          </cell>
          <cell r="N82" t="str">
            <v>-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</row>
        <row r="83">
          <cell r="B83">
            <v>3.6010082823190494E-2</v>
          </cell>
          <cell r="C83">
            <v>7.3630580405404613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 t="str">
            <v>-</v>
          </cell>
          <cell r="J83">
            <v>5.5503537654488238</v>
          </cell>
          <cell r="K83">
            <v>9.7751774267709219</v>
          </cell>
          <cell r="L83">
            <v>6.7636429294016365</v>
          </cell>
          <cell r="M83">
            <v>0</v>
          </cell>
          <cell r="N83" t="str">
            <v>-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</row>
        <row r="84">
          <cell r="B84">
            <v>0</v>
          </cell>
          <cell r="C84">
            <v>7.4088728930922256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 t="str">
            <v>-</v>
          </cell>
          <cell r="J84">
            <v>5.6373342727539617</v>
          </cell>
          <cell r="K84">
            <v>10.205929289793179</v>
          </cell>
          <cell r="L84">
            <v>6.3833551167295361</v>
          </cell>
          <cell r="M84">
            <v>0</v>
          </cell>
          <cell r="N84" t="str">
            <v>-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</row>
        <row r="85">
          <cell r="B85">
            <v>0</v>
          </cell>
          <cell r="C85">
            <v>7.5992766546872232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 t="str">
            <v>-</v>
          </cell>
          <cell r="J85">
            <v>6.0046381821312504</v>
          </cell>
          <cell r="K85">
            <v>6.3922111133409496</v>
          </cell>
          <cell r="L85">
            <v>10.400980668589469</v>
          </cell>
          <cell r="M85">
            <v>0</v>
          </cell>
          <cell r="N85" t="str">
            <v>-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</row>
        <row r="86">
          <cell r="B86">
            <v>0</v>
          </cell>
          <cell r="C86">
            <v>7.4217585159958182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 t="str">
            <v>-</v>
          </cell>
          <cell r="J86">
            <v>6.2945737521869241</v>
          </cell>
          <cell r="K86">
            <v>9.9024002709460053</v>
          </cell>
          <cell r="L86">
            <v>6.0683015248545216</v>
          </cell>
          <cell r="M86">
            <v>0</v>
          </cell>
          <cell r="N86" t="str">
            <v>-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</row>
        <row r="87">
          <cell r="B87">
            <v>0</v>
          </cell>
          <cell r="C87">
            <v>7.7713850121976398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 t="str">
            <v>-</v>
          </cell>
          <cell r="J87">
            <v>6.7180836374026951</v>
          </cell>
          <cell r="K87">
            <v>10.288256142420103</v>
          </cell>
          <cell r="L87">
            <v>6.3078152567701187</v>
          </cell>
          <cell r="M87">
            <v>0</v>
          </cell>
          <cell r="N87" t="str">
            <v>-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</row>
        <row r="88">
          <cell r="B88">
            <v>0</v>
          </cell>
          <cell r="C88">
            <v>7.6353536376900779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 t="str">
            <v>-</v>
          </cell>
          <cell r="J88">
            <v>6.8483465554968808</v>
          </cell>
          <cell r="K88">
            <v>9.7550569843689097</v>
          </cell>
          <cell r="L88">
            <v>6.3026573732044442</v>
          </cell>
          <cell r="M88">
            <v>0</v>
          </cell>
          <cell r="N88" t="str">
            <v>-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</row>
        <row r="89">
          <cell r="B89">
            <v>0</v>
          </cell>
          <cell r="C89">
            <v>7.5568343019152282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 t="str">
            <v>-</v>
          </cell>
          <cell r="J89">
            <v>6.2861783858360321</v>
          </cell>
          <cell r="K89">
            <v>6.4874598230845315</v>
          </cell>
          <cell r="L89">
            <v>9.8968646968251228</v>
          </cell>
          <cell r="M89">
            <v>0</v>
          </cell>
          <cell r="N89" t="str">
            <v>-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</row>
        <row r="90">
          <cell r="B90">
            <v>0</v>
          </cell>
          <cell r="C90">
            <v>7.7167202185803516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 t="str">
            <v>-</v>
          </cell>
          <cell r="J90">
            <v>10.368860078583756</v>
          </cell>
          <cell r="K90">
            <v>6.4541011470324525</v>
          </cell>
          <cell r="L90">
            <v>6.3271994301248471</v>
          </cell>
          <cell r="M90">
            <v>0</v>
          </cell>
          <cell r="N90" t="str">
            <v>-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</row>
        <row r="91">
          <cell r="B91">
            <v>0</v>
          </cell>
          <cell r="C91">
            <v>7.7220908563456376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 t="str">
            <v>-</v>
          </cell>
          <cell r="J91">
            <v>6.7760327064249228</v>
          </cell>
          <cell r="K91">
            <v>10.198813685081273</v>
          </cell>
          <cell r="L91">
            <v>6.1914261775307171</v>
          </cell>
          <cell r="M91">
            <v>0</v>
          </cell>
          <cell r="N91" t="str">
            <v>-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</row>
        <row r="92">
          <cell r="B92">
            <v>0</v>
          </cell>
          <cell r="C92">
            <v>7.7644465455735192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 t="str">
            <v>-</v>
          </cell>
          <cell r="J92">
            <v>6.5923027979855329</v>
          </cell>
          <cell r="K92">
            <v>6.412981570499479</v>
          </cell>
          <cell r="L92">
            <v>10.288055268235546</v>
          </cell>
          <cell r="M92">
            <v>0</v>
          </cell>
          <cell r="N92" t="str">
            <v>-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</row>
        <row r="93">
          <cell r="B93">
            <v>3.82262996941896E-2</v>
          </cell>
          <cell r="C93">
            <v>7.5528604017048027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 t="str">
            <v>-</v>
          </cell>
          <cell r="J93">
            <v>6.6655001117468569</v>
          </cell>
          <cell r="K93">
            <v>6.4577451104577701</v>
          </cell>
          <cell r="L93">
            <v>9.5353359829097819</v>
          </cell>
          <cell r="M93">
            <v>0</v>
          </cell>
          <cell r="N93" t="str">
            <v>-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</row>
        <row r="94">
          <cell r="B94">
            <v>0</v>
          </cell>
          <cell r="C94">
            <v>7.7655540967714574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 t="str">
            <v>-</v>
          </cell>
          <cell r="J94">
            <v>6.4769560807620374</v>
          </cell>
          <cell r="K94">
            <v>6.1969356076580029</v>
          </cell>
          <cell r="L94">
            <v>10.622770601894331</v>
          </cell>
          <cell r="M94">
            <v>0</v>
          </cell>
          <cell r="N94" t="str">
            <v>-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 t="str">
            <v>-</v>
          </cell>
          <cell r="AA94" t="str">
            <v>-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</row>
        <row r="95">
          <cell r="B95">
            <v>0</v>
          </cell>
          <cell r="C95">
            <v>7.8540842140716807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str">
            <v>-</v>
          </cell>
          <cell r="J95">
            <v>7.2756681099514999</v>
          </cell>
          <cell r="K95">
            <v>10.507574781623461</v>
          </cell>
          <cell r="L95">
            <v>5.7790097506400802</v>
          </cell>
          <cell r="M95">
            <v>0</v>
          </cell>
          <cell r="N95" t="str">
            <v>-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</row>
        <row r="96">
          <cell r="B96">
            <v>0</v>
          </cell>
          <cell r="C96">
            <v>7.0188706526719074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 t="str">
            <v>-</v>
          </cell>
          <cell r="J96">
            <v>5.9202337607557372</v>
          </cell>
          <cell r="K96">
            <v>9.1263693846389966</v>
          </cell>
          <cell r="L96">
            <v>6.0100088126209865</v>
          </cell>
          <cell r="M96">
            <v>0</v>
          </cell>
          <cell r="N96" t="str">
            <v>-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</row>
        <row r="97">
          <cell r="B97">
            <v>0</v>
          </cell>
          <cell r="C97">
            <v>7.8017145385660642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 t="str">
            <v>-</v>
          </cell>
          <cell r="J97">
            <v>6.2624638548210187</v>
          </cell>
          <cell r="K97">
            <v>6.6171317219184962</v>
          </cell>
          <cell r="L97">
            <v>10.525548038958679</v>
          </cell>
          <cell r="M97">
            <v>0</v>
          </cell>
          <cell r="N97" t="str">
            <v>-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</row>
        <row r="98">
          <cell r="B98">
            <v>0</v>
          </cell>
          <cell r="C98">
            <v>7.2616032252362004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 t="str">
            <v>-</v>
          </cell>
          <cell r="J98">
            <v>6.1601136319983452</v>
          </cell>
          <cell r="K98">
            <v>9.5931623092489993</v>
          </cell>
          <cell r="L98">
            <v>6.0315337344612558</v>
          </cell>
          <cell r="M98">
            <v>0</v>
          </cell>
          <cell r="N98" t="str">
            <v>-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</row>
        <row r="99">
          <cell r="B99">
            <v>0</v>
          </cell>
          <cell r="C99">
            <v>7.3788526769511522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 t="str">
            <v>-</v>
          </cell>
          <cell r="J99">
            <v>6.1838762008826436</v>
          </cell>
          <cell r="K99">
            <v>6.361721100867813</v>
          </cell>
          <cell r="L99">
            <v>9.590960729103001</v>
          </cell>
          <cell r="M99">
            <v>0</v>
          </cell>
          <cell r="N99" t="str">
            <v>-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</row>
        <row r="100">
          <cell r="B100">
            <v>0</v>
          </cell>
          <cell r="C100">
            <v>7.7515357329769889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 t="str">
            <v>-</v>
          </cell>
          <cell r="J100">
            <v>7.1094191617226263</v>
          </cell>
          <cell r="K100">
            <v>9.4233297852357403</v>
          </cell>
          <cell r="L100">
            <v>6.7218582519725976</v>
          </cell>
          <cell r="M100">
            <v>0</v>
          </cell>
          <cell r="N100" t="str">
            <v>-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</row>
        <row r="101">
          <cell r="B101">
            <v>0</v>
          </cell>
          <cell r="C101">
            <v>8.0569796230538469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 t="str">
            <v>-</v>
          </cell>
          <cell r="J101">
            <v>6.3987107044062475</v>
          </cell>
          <cell r="K101">
            <v>10.39217784595216</v>
          </cell>
          <cell r="L101">
            <v>7.3800503188031321</v>
          </cell>
          <cell r="M101">
            <v>0</v>
          </cell>
          <cell r="N101" t="str">
            <v>-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</row>
        <row r="102">
          <cell r="B102">
            <v>0</v>
          </cell>
          <cell r="C102">
            <v>8.0506811780538676</v>
          </cell>
          <cell r="D102">
            <v>0</v>
          </cell>
          <cell r="E102">
            <v>3.6140224069389229E-2</v>
          </cell>
          <cell r="F102">
            <v>0</v>
          </cell>
          <cell r="G102">
            <v>0</v>
          </cell>
          <cell r="H102">
            <v>0</v>
          </cell>
          <cell r="I102" t="str">
            <v>-</v>
          </cell>
          <cell r="J102">
            <v>6.6558596427554155</v>
          </cell>
          <cell r="K102">
            <v>10.68340599598417</v>
          </cell>
          <cell r="L102">
            <v>6.8127778954220171</v>
          </cell>
          <cell r="M102">
            <v>0</v>
          </cell>
          <cell r="N102" t="str">
            <v>-</v>
          </cell>
          <cell r="O102">
            <v>3.6140224069389229E-2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</row>
        <row r="103">
          <cell r="B103">
            <v>0</v>
          </cell>
          <cell r="C103">
            <v>7.48102735547047</v>
          </cell>
          <cell r="D103">
            <v>0</v>
          </cell>
          <cell r="E103">
            <v>3.7893141341417205E-2</v>
          </cell>
          <cell r="F103">
            <v>3.8699690402476776E-2</v>
          </cell>
          <cell r="G103">
            <v>0</v>
          </cell>
          <cell r="H103">
            <v>0</v>
          </cell>
          <cell r="I103" t="str">
            <v>-</v>
          </cell>
          <cell r="J103">
            <v>6.664244688106435</v>
          </cell>
          <cell r="K103">
            <v>6.4888043190940428</v>
          </cell>
          <cell r="L103">
            <v>9.2900330592109324</v>
          </cell>
          <cell r="M103">
            <v>0</v>
          </cell>
          <cell r="N103" t="str">
            <v>-</v>
          </cell>
          <cell r="O103">
            <v>3.7893141341417205E-2</v>
          </cell>
          <cell r="P103">
            <v>3.8699690402476776E-2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</row>
        <row r="104">
          <cell r="B104">
            <v>3.7921880925293895E-2</v>
          </cell>
          <cell r="C104">
            <v>8.1662089319496811</v>
          </cell>
          <cell r="D104">
            <v>0</v>
          </cell>
          <cell r="E104">
            <v>7.1073205401563616E-2</v>
          </cell>
          <cell r="F104">
            <v>0</v>
          </cell>
          <cell r="G104">
            <v>0</v>
          </cell>
          <cell r="H104">
            <v>0</v>
          </cell>
          <cell r="I104" t="str">
            <v>-</v>
          </cell>
          <cell r="J104">
            <v>6.9069970524326987</v>
          </cell>
          <cell r="K104">
            <v>10.841293988183791</v>
          </cell>
          <cell r="L104">
            <v>6.7503357552325518</v>
          </cell>
          <cell r="M104">
            <v>0</v>
          </cell>
          <cell r="N104" t="str">
            <v>-</v>
          </cell>
          <cell r="O104">
            <v>7.1073205401563616E-2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</row>
        <row r="105">
          <cell r="B105">
            <v>0</v>
          </cell>
          <cell r="C105">
            <v>8.3361052472890016</v>
          </cell>
          <cell r="D105">
            <v>0</v>
          </cell>
          <cell r="E105">
            <v>0.24927295388450352</v>
          </cell>
          <cell r="F105">
            <v>4.0387722132471729E-2</v>
          </cell>
          <cell r="G105">
            <v>0</v>
          </cell>
          <cell r="H105">
            <v>0</v>
          </cell>
          <cell r="I105" t="str">
            <v>-</v>
          </cell>
          <cell r="J105">
            <v>7.398457500610597</v>
          </cell>
          <cell r="K105">
            <v>7.437662458266689</v>
          </cell>
          <cell r="L105">
            <v>10.172195782989718</v>
          </cell>
          <cell r="M105">
            <v>0</v>
          </cell>
          <cell r="N105" t="str">
            <v>-</v>
          </cell>
          <cell r="O105">
            <v>0.24927295388450352</v>
          </cell>
          <cell r="P105">
            <v>4.0387722132471729E-2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 t="str">
            <v>-</v>
          </cell>
          <cell r="AA105" t="str">
            <v>-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</row>
        <row r="106">
          <cell r="B106">
            <v>0</v>
          </cell>
          <cell r="C106">
            <v>7.7529162468991011</v>
          </cell>
          <cell r="D106">
            <v>0</v>
          </cell>
          <cell r="E106">
            <v>0.29271862422246614</v>
          </cell>
          <cell r="F106">
            <v>0.29850746268656719</v>
          </cell>
          <cell r="G106">
            <v>0</v>
          </cell>
          <cell r="H106">
            <v>0</v>
          </cell>
          <cell r="I106" t="str">
            <v>-</v>
          </cell>
          <cell r="J106">
            <v>6.4455125215779141</v>
          </cell>
          <cell r="K106">
            <v>9.9055366430771468</v>
          </cell>
          <cell r="L106">
            <v>6.907699576042245</v>
          </cell>
          <cell r="M106">
            <v>0</v>
          </cell>
          <cell r="N106" t="str">
            <v>-</v>
          </cell>
          <cell r="O106">
            <v>0.29271862422246614</v>
          </cell>
          <cell r="P106">
            <v>0.29850746268656719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</row>
        <row r="107">
          <cell r="B107">
            <v>0</v>
          </cell>
          <cell r="C107">
            <v>8.3196195077886319</v>
          </cell>
          <cell r="D107">
            <v>0</v>
          </cell>
          <cell r="E107">
            <v>0.39011703511053314</v>
          </cell>
          <cell r="F107">
            <v>0.39187744923405776</v>
          </cell>
          <cell r="G107">
            <v>0</v>
          </cell>
          <cell r="H107">
            <v>0</v>
          </cell>
          <cell r="I107" t="str">
            <v>-</v>
          </cell>
          <cell r="J107">
            <v>6.946351891373995</v>
          </cell>
          <cell r="K107">
            <v>9.6539941057404928</v>
          </cell>
          <cell r="L107">
            <v>8.3585125262514079</v>
          </cell>
          <cell r="M107">
            <v>0</v>
          </cell>
          <cell r="N107" t="str">
            <v>-</v>
          </cell>
          <cell r="O107">
            <v>0.39011703511053314</v>
          </cell>
          <cell r="P107">
            <v>0.39187744923405776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 t="str">
            <v>-</v>
          </cell>
          <cell r="AA107" t="str">
            <v>-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</row>
        <row r="108">
          <cell r="B108">
            <v>3.6231884057971009E-2</v>
          </cell>
          <cell r="C108">
            <v>8.1816722169555973</v>
          </cell>
          <cell r="D108">
            <v>0</v>
          </cell>
          <cell r="E108">
            <v>0.63009636767976274</v>
          </cell>
          <cell r="F108">
            <v>0.54744525547445255</v>
          </cell>
          <cell r="G108">
            <v>0</v>
          </cell>
          <cell r="H108">
            <v>0</v>
          </cell>
          <cell r="I108" t="str">
            <v>-</v>
          </cell>
          <cell r="J108">
            <v>7.037602819661199</v>
          </cell>
          <cell r="K108">
            <v>10.283028314920795</v>
          </cell>
          <cell r="L108">
            <v>7.2243855162847987</v>
          </cell>
          <cell r="M108">
            <v>0</v>
          </cell>
          <cell r="N108" t="str">
            <v>-</v>
          </cell>
          <cell r="O108">
            <v>0.63009636767976274</v>
          </cell>
          <cell r="P108">
            <v>0.54744525547445255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</row>
        <row r="109">
          <cell r="B109">
            <v>0</v>
          </cell>
          <cell r="C109">
            <v>7.91925454329796</v>
          </cell>
          <cell r="D109">
            <v>0</v>
          </cell>
          <cell r="E109">
            <v>0.56919245819992881</v>
          </cell>
          <cell r="F109">
            <v>0.68765834238146939</v>
          </cell>
          <cell r="G109">
            <v>0</v>
          </cell>
          <cell r="H109">
            <v>0</v>
          </cell>
          <cell r="I109" t="str">
            <v>-</v>
          </cell>
          <cell r="J109">
            <v>7.1120608000635066</v>
          </cell>
          <cell r="K109">
            <v>9.6113687430992343</v>
          </cell>
          <cell r="L109">
            <v>7.0343340867311372</v>
          </cell>
          <cell r="M109">
            <v>0</v>
          </cell>
          <cell r="N109" t="str">
            <v>-</v>
          </cell>
          <cell r="O109">
            <v>0.56919245819992881</v>
          </cell>
          <cell r="P109">
            <v>0.68765834238146939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</row>
        <row r="110">
          <cell r="B110">
            <v>0</v>
          </cell>
          <cell r="C110">
            <v>6.8889184719848258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 t="str">
            <v>-</v>
          </cell>
          <cell r="J110">
            <v>5.1467384871166457</v>
          </cell>
          <cell r="K110">
            <v>5.823939911299953</v>
          </cell>
          <cell r="L110">
            <v>9.6960770175378794</v>
          </cell>
          <cell r="M110">
            <v>0</v>
          </cell>
          <cell r="N110" t="str">
            <v>-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</row>
        <row r="111">
          <cell r="B111">
            <v>0</v>
          </cell>
          <cell r="C111">
            <v>7.3727418404837524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 t="str">
            <v>-</v>
          </cell>
          <cell r="J111">
            <v>5.7412507869002809</v>
          </cell>
          <cell r="K111">
            <v>6.0725005363687945</v>
          </cell>
          <cell r="L111">
            <v>10.304474198182181</v>
          </cell>
          <cell r="M111">
            <v>0</v>
          </cell>
          <cell r="N111" t="str">
            <v>-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</row>
        <row r="112">
          <cell r="B112">
            <v>0</v>
          </cell>
          <cell r="C112">
            <v>7.1662983457604099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 t="str">
            <v>-</v>
          </cell>
          <cell r="J112">
            <v>9.7175626551782255</v>
          </cell>
          <cell r="K112">
            <v>6.033582506912083</v>
          </cell>
          <cell r="L112">
            <v>5.7477498751909213</v>
          </cell>
          <cell r="M112">
            <v>0</v>
          </cell>
          <cell r="N112" t="str">
            <v>-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</row>
        <row r="113">
          <cell r="B113">
            <v>0</v>
          </cell>
          <cell r="C113">
            <v>7.8740981219833559</v>
          </cell>
          <cell r="D113">
            <v>0</v>
          </cell>
          <cell r="E113">
            <v>3.6523009495982472E-2</v>
          </cell>
          <cell r="F113">
            <v>0.19825535289452814</v>
          </cell>
          <cell r="G113">
            <v>0</v>
          </cell>
          <cell r="H113">
            <v>0</v>
          </cell>
          <cell r="I113" t="str">
            <v>-</v>
          </cell>
          <cell r="J113">
            <v>6.3197047663706503</v>
          </cell>
          <cell r="K113">
            <v>7.0671647949903589</v>
          </cell>
          <cell r="L113">
            <v>10.235424804589057</v>
          </cell>
          <cell r="M113">
            <v>0</v>
          </cell>
          <cell r="N113" t="str">
            <v>-</v>
          </cell>
          <cell r="O113">
            <v>3.6523009495982472E-2</v>
          </cell>
          <cell r="P113">
            <v>0.19825535289452814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</row>
        <row r="114">
          <cell r="B114">
            <v>0</v>
          </cell>
          <cell r="C114">
            <v>7.845066516239787</v>
          </cell>
          <cell r="D114">
            <v>0</v>
          </cell>
          <cell r="E114">
            <v>0.19223375624759706</v>
          </cell>
          <cell r="F114">
            <v>3.635041802980734E-2</v>
          </cell>
          <cell r="G114">
            <v>0</v>
          </cell>
          <cell r="H114">
            <v>0</v>
          </cell>
          <cell r="I114" t="str">
            <v>-</v>
          </cell>
          <cell r="J114">
            <v>6.6685759921732339</v>
          </cell>
          <cell r="K114">
            <v>7.1509225018728246</v>
          </cell>
          <cell r="L114">
            <v>9.7157010546733051</v>
          </cell>
          <cell r="M114">
            <v>0</v>
          </cell>
          <cell r="N114" t="str">
            <v>-</v>
          </cell>
          <cell r="O114">
            <v>0.19223375624759706</v>
          </cell>
          <cell r="P114">
            <v>3.635041802980734E-2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</row>
        <row r="115">
          <cell r="B115">
            <v>0</v>
          </cell>
          <cell r="C115">
            <v>7.8377837291238412</v>
          </cell>
          <cell r="D115">
            <v>0</v>
          </cell>
          <cell r="E115">
            <v>0.29574861367837341</v>
          </cell>
          <cell r="F115">
            <v>0.137221269296741</v>
          </cell>
          <cell r="G115">
            <v>0</v>
          </cell>
          <cell r="H115">
            <v>0</v>
          </cell>
          <cell r="I115" t="str">
            <v>-</v>
          </cell>
          <cell r="J115">
            <v>10.928025979665156</v>
          </cell>
          <cell r="K115">
            <v>6.2393650829924425</v>
          </cell>
          <cell r="L115">
            <v>6.3459601247139217</v>
          </cell>
          <cell r="M115">
            <v>0</v>
          </cell>
          <cell r="N115" t="str">
            <v>-</v>
          </cell>
          <cell r="O115">
            <v>0.29574861367837341</v>
          </cell>
          <cell r="P115">
            <v>0.137221269296741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</row>
        <row r="116">
          <cell r="B116">
            <v>0</v>
          </cell>
          <cell r="C116">
            <v>7.675035707233584</v>
          </cell>
          <cell r="D116">
            <v>0</v>
          </cell>
          <cell r="E116">
            <v>0.13536379018612524</v>
          </cell>
          <cell r="F116">
            <v>0.24916943521594681</v>
          </cell>
          <cell r="G116">
            <v>0</v>
          </cell>
          <cell r="H116">
            <v>0</v>
          </cell>
          <cell r="I116" t="str">
            <v>-</v>
          </cell>
          <cell r="J116">
            <v>9.8742457869667799</v>
          </cell>
          <cell r="K116">
            <v>6.3650088174648118</v>
          </cell>
          <cell r="L116">
            <v>6.7858525172691593</v>
          </cell>
          <cell r="M116">
            <v>0</v>
          </cell>
          <cell r="N116" t="str">
            <v>-</v>
          </cell>
          <cell r="O116">
            <v>0.13536379018612524</v>
          </cell>
          <cell r="P116">
            <v>0.24916943521594681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</row>
        <row r="117">
          <cell r="B117">
            <v>0</v>
          </cell>
          <cell r="C117">
            <v>7.7679339756750592</v>
          </cell>
          <cell r="D117">
            <v>0</v>
          </cell>
          <cell r="E117">
            <v>0.13698630136986301</v>
          </cell>
          <cell r="F117">
            <v>0.43772383605252685</v>
          </cell>
          <cell r="G117">
            <v>0</v>
          </cell>
          <cell r="H117">
            <v>0</v>
          </cell>
          <cell r="I117" t="str">
            <v>-</v>
          </cell>
          <cell r="J117">
            <v>6.4915036434286986</v>
          </cell>
          <cell r="K117">
            <v>9.3443058307087288</v>
          </cell>
          <cell r="L117">
            <v>7.4679924528877484</v>
          </cell>
          <cell r="M117">
            <v>0</v>
          </cell>
          <cell r="N117" t="str">
            <v>-</v>
          </cell>
          <cell r="O117">
            <v>0.13698630136986301</v>
          </cell>
          <cell r="P117">
            <v>0.43772383605252685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</row>
        <row r="118">
          <cell r="B118">
            <v>0</v>
          </cell>
          <cell r="C118">
            <v>7.6034242353007784</v>
          </cell>
          <cell r="D118">
            <v>0</v>
          </cell>
          <cell r="E118">
            <v>0.45985143261407857</v>
          </cell>
          <cell r="F118">
            <v>0.38270187523918869</v>
          </cell>
          <cell r="G118">
            <v>0</v>
          </cell>
          <cell r="H118">
            <v>0</v>
          </cell>
          <cell r="I118" t="str">
            <v>-</v>
          </cell>
          <cell r="J118">
            <v>6.492794490776606</v>
          </cell>
          <cell r="K118">
            <v>10.050061682766051</v>
          </cell>
          <cell r="L118">
            <v>6.2674165323596789</v>
          </cell>
          <cell r="M118">
            <v>0</v>
          </cell>
          <cell r="N118" t="str">
            <v>-</v>
          </cell>
          <cell r="O118">
            <v>0.45985143261407857</v>
          </cell>
          <cell r="P118">
            <v>0.38270187523918869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</row>
        <row r="119">
          <cell r="B119">
            <v>0</v>
          </cell>
          <cell r="C119">
            <v>7.2988531636595146</v>
          </cell>
          <cell r="D119">
            <v>0</v>
          </cell>
          <cell r="E119">
            <v>0.53825451749327191</v>
          </cell>
          <cell r="F119">
            <v>0.61279203370356183</v>
          </cell>
          <cell r="G119">
            <v>0</v>
          </cell>
          <cell r="H119">
            <v>0</v>
          </cell>
          <cell r="I119" t="str">
            <v>-</v>
          </cell>
          <cell r="J119">
            <v>9.6063265070912074</v>
          </cell>
          <cell r="K119">
            <v>6.065167124885952</v>
          </cell>
          <cell r="L119">
            <v>6.2250658590013828</v>
          </cell>
          <cell r="M119">
            <v>0</v>
          </cell>
          <cell r="N119" t="str">
            <v>-</v>
          </cell>
          <cell r="O119">
            <v>0.53825451749327191</v>
          </cell>
          <cell r="P119">
            <v>0.61279203370356183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</row>
        <row r="120">
          <cell r="B120">
            <v>0</v>
          </cell>
          <cell r="C120">
            <v>7.7442831998412025</v>
          </cell>
          <cell r="D120">
            <v>0</v>
          </cell>
          <cell r="E120">
            <v>0.57388809182209466</v>
          </cell>
          <cell r="F120">
            <v>0.64516129032258063</v>
          </cell>
          <cell r="G120">
            <v>0</v>
          </cell>
          <cell r="H120">
            <v>0</v>
          </cell>
          <cell r="I120" t="str">
            <v>-</v>
          </cell>
          <cell r="J120">
            <v>9.8226461579935282</v>
          </cell>
          <cell r="K120">
            <v>6.9345870776364116</v>
          </cell>
          <cell r="L120">
            <v>6.4756163638936668</v>
          </cell>
          <cell r="M120">
            <v>0</v>
          </cell>
          <cell r="N120" t="str">
            <v>-</v>
          </cell>
          <cell r="O120">
            <v>0.57388809182209466</v>
          </cell>
          <cell r="P120">
            <v>0.64516129032258063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 t="str">
            <v>-</v>
          </cell>
          <cell r="AA120" t="str">
            <v>-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sc."/>
      <sheetName val="Core_mCPU"/>
      <sheetName val="Memory_MB"/>
      <sheetName val="Throttle_%"/>
      <sheetName val="Regression"/>
      <sheetName val="Compare"/>
    </sheetNames>
    <sheetDataSet>
      <sheetData sheetId="0"/>
      <sheetData sheetId="1">
        <row r="2">
          <cell r="B2">
            <v>31.874894043307357</v>
          </cell>
          <cell r="C2">
            <v>1024.8924838289324</v>
          </cell>
          <cell r="D2">
            <v>244.75515259952482</v>
          </cell>
          <cell r="E2">
            <v>128.65741377588239</v>
          </cell>
          <cell r="F2">
            <v>122.53314407381093</v>
          </cell>
          <cell r="G2">
            <v>31.915929358078113</v>
          </cell>
          <cell r="H2">
            <v>595.30587478609675</v>
          </cell>
          <cell r="I2">
            <v>169.3333590731983</v>
          </cell>
        </row>
        <row r="3">
          <cell r="B3">
            <v>47.912627354121646</v>
          </cell>
          <cell r="C3">
            <v>1299.9968745299384</v>
          </cell>
          <cell r="D3">
            <v>316.73267200813814</v>
          </cell>
          <cell r="E3">
            <v>178.08660370316139</v>
          </cell>
          <cell r="F3">
            <v>174.67387743575276</v>
          </cell>
          <cell r="G3">
            <v>37.530619857515397</v>
          </cell>
          <cell r="H3">
            <v>563.84677319607431</v>
          </cell>
          <cell r="I3">
            <v>164.42716314186737</v>
          </cell>
        </row>
        <row r="4">
          <cell r="B4">
            <v>93.123078229847792</v>
          </cell>
          <cell r="C4">
            <v>1524.5982680301822</v>
          </cell>
          <cell r="D4">
            <v>524.32554069942273</v>
          </cell>
          <cell r="E4">
            <v>261.26951758727506</v>
          </cell>
          <cell r="F4">
            <v>266.29077635327599</v>
          </cell>
          <cell r="G4">
            <v>55.19125741847003</v>
          </cell>
          <cell r="H4">
            <v>557.24361387915485</v>
          </cell>
          <cell r="I4">
            <v>167.14693472318615</v>
          </cell>
        </row>
        <row r="5">
          <cell r="B5">
            <v>140.36784070227986</v>
          </cell>
          <cell r="C5">
            <v>1622.1005335856989</v>
          </cell>
          <cell r="D5">
            <v>626.07856224772786</v>
          </cell>
          <cell r="E5">
            <v>321.32786900557699</v>
          </cell>
          <cell r="F5">
            <v>326.26124814264483</v>
          </cell>
          <cell r="G5">
            <v>36.662587977995607</v>
          </cell>
          <cell r="H5">
            <v>574.97549830207174</v>
          </cell>
          <cell r="I5">
            <v>172.09673983344996</v>
          </cell>
        </row>
        <row r="6">
          <cell r="B6">
            <v>554.24325794932872</v>
          </cell>
          <cell r="C6">
            <v>4136.5274569642061</v>
          </cell>
          <cell r="D6">
            <v>6532.7363113323336</v>
          </cell>
          <cell r="E6">
            <v>3026.7838163241736</v>
          </cell>
          <cell r="F6">
            <v>2918.9353720952427</v>
          </cell>
          <cell r="G6">
            <v>31.654581476327408</v>
          </cell>
          <cell r="H6">
            <v>575.41017213615464</v>
          </cell>
          <cell r="I6">
            <v>334.75776822505605</v>
          </cell>
        </row>
        <row r="7">
          <cell r="B7">
            <v>6.4003346283640576</v>
          </cell>
          <cell r="C7">
            <v>201.65730407906571</v>
          </cell>
          <cell r="D7">
            <v>10.2787124202853</v>
          </cell>
          <cell r="E7">
            <v>15.71706575029736</v>
          </cell>
          <cell r="F7">
            <v>17.979111003157421</v>
          </cell>
          <cell r="G7">
            <v>27.771281588591041</v>
          </cell>
          <cell r="H7">
            <v>499.35976665483759</v>
          </cell>
          <cell r="I7">
            <v>140.45775773731151</v>
          </cell>
        </row>
        <row r="8">
          <cell r="B8">
            <v>219.06419632699419</v>
          </cell>
          <cell r="C8">
            <v>2590.500176866381</v>
          </cell>
          <cell r="D8">
            <v>1415.0675527282349</v>
          </cell>
          <cell r="E8">
            <v>615.85104488521631</v>
          </cell>
          <cell r="F8">
            <v>698.70365708014469</v>
          </cell>
          <cell r="G8">
            <v>653.14900314512442</v>
          </cell>
          <cell r="H8">
            <v>3009.7199505059252</v>
          </cell>
          <cell r="I8">
            <v>212.88620584354399</v>
          </cell>
        </row>
        <row r="9">
          <cell r="B9">
            <v>212.40083289953179</v>
          </cell>
          <cell r="C9">
            <v>3219.3937676914202</v>
          </cell>
          <cell r="D9">
            <v>2253.6134123777529</v>
          </cell>
          <cell r="E9">
            <v>842.24209819842338</v>
          </cell>
          <cell r="F9">
            <v>996.38073786850578</v>
          </cell>
          <cell r="G9">
            <v>1264.1928158550261</v>
          </cell>
          <cell r="H9">
            <v>4044.8854493953859</v>
          </cell>
          <cell r="I9">
            <v>233.9189534155116</v>
          </cell>
        </row>
        <row r="10">
          <cell r="B10">
            <v>265.19648058616878</v>
          </cell>
          <cell r="C10">
            <v>3479.7178804003629</v>
          </cell>
          <cell r="D10">
            <v>2359.9950758717719</v>
          </cell>
          <cell r="E10">
            <v>1056.1145042678479</v>
          </cell>
          <cell r="F10">
            <v>1204.3825233926959</v>
          </cell>
          <cell r="G10">
            <v>1335.474662412413</v>
          </cell>
          <cell r="H10">
            <v>4302.023985038195</v>
          </cell>
          <cell r="I10">
            <v>258.41303658965558</v>
          </cell>
        </row>
        <row r="11">
          <cell r="B11">
            <v>315.55467698519499</v>
          </cell>
          <cell r="C11">
            <v>4084.2104427412119</v>
          </cell>
          <cell r="D11">
            <v>2771.4222591127491</v>
          </cell>
          <cell r="E11">
            <v>1313.3507168492911</v>
          </cell>
          <cell r="F11">
            <v>1638.1740928624499</v>
          </cell>
          <cell r="G11">
            <v>1399.256542270703</v>
          </cell>
          <cell r="H11">
            <v>4850.2517303827344</v>
          </cell>
          <cell r="I11">
            <v>279.45714606487718</v>
          </cell>
        </row>
        <row r="12">
          <cell r="B12">
            <v>338.510444494512</v>
          </cell>
          <cell r="C12">
            <v>4523.1798363785647</v>
          </cell>
          <cell r="D12">
            <v>3651.8869128470742</v>
          </cell>
          <cell r="E12">
            <v>1536.285666403558</v>
          </cell>
          <cell r="F12">
            <v>1752.136720769151</v>
          </cell>
          <cell r="G12">
            <v>1530.368795262106</v>
          </cell>
          <cell r="H12">
            <v>5143.8042742616099</v>
          </cell>
          <cell r="I12">
            <v>294.34789200767977</v>
          </cell>
        </row>
        <row r="13">
          <cell r="B13">
            <v>386.79612512746428</v>
          </cell>
          <cell r="C13">
            <v>4570.4284211295899</v>
          </cell>
          <cell r="D13">
            <v>3448.686010851618</v>
          </cell>
          <cell r="E13">
            <v>1648.936175616712</v>
          </cell>
          <cell r="F13">
            <v>1831.8687644500239</v>
          </cell>
          <cell r="G13">
            <v>1530.166567530752</v>
          </cell>
          <cell r="H13">
            <v>5282.1087533530363</v>
          </cell>
          <cell r="I13">
            <v>304.59726560733151</v>
          </cell>
        </row>
        <row r="14">
          <cell r="B14">
            <v>397.64208533796051</v>
          </cell>
          <cell r="C14">
            <v>4729.8249448384649</v>
          </cell>
          <cell r="D14">
            <v>4336.0169303539406</v>
          </cell>
          <cell r="E14">
            <v>1738.20430521961</v>
          </cell>
          <cell r="F14">
            <v>2270.6242975734431</v>
          </cell>
          <cell r="G14">
            <v>1648.734282805071</v>
          </cell>
          <cell r="H14">
            <v>5670.4087251579012</v>
          </cell>
          <cell r="I14">
            <v>337.29481817692528</v>
          </cell>
        </row>
        <row r="15">
          <cell r="B15">
            <v>429.38757180156659</v>
          </cell>
          <cell r="C15">
            <v>4883.8066992124877</v>
          </cell>
          <cell r="D15">
            <v>4911.0272556390919</v>
          </cell>
          <cell r="E15">
            <v>1950.2083548313551</v>
          </cell>
          <cell r="F15">
            <v>2527.3627817419838</v>
          </cell>
          <cell r="G15">
            <v>1704.444344765948</v>
          </cell>
          <cell r="H15">
            <v>6094.4855753049633</v>
          </cell>
          <cell r="I15">
            <v>350.96465459407841</v>
          </cell>
        </row>
        <row r="16">
          <cell r="B16">
            <v>472.37675905166242</v>
          </cell>
          <cell r="C16">
            <v>4719.7713242700956</v>
          </cell>
          <cell r="D16">
            <v>5190.4460884203036</v>
          </cell>
          <cell r="E16">
            <v>1965.665864987933</v>
          </cell>
          <cell r="F16">
            <v>2615.5991118288289</v>
          </cell>
          <cell r="G16">
            <v>1696.997816460007</v>
          </cell>
          <cell r="H16">
            <v>6225.8234231659771</v>
          </cell>
          <cell r="I16">
            <v>362.71946122980609</v>
          </cell>
        </row>
        <row r="17">
          <cell r="B17">
            <v>473.64508856682602</v>
          </cell>
          <cell r="C17">
            <v>4890.7011591671198</v>
          </cell>
          <cell r="D17">
            <v>5563.8918778201996</v>
          </cell>
          <cell r="E17">
            <v>2221.6056320661501</v>
          </cell>
          <cell r="F17">
            <v>2816.922540265854</v>
          </cell>
          <cell r="G17">
            <v>1762.31695656189</v>
          </cell>
          <cell r="H17">
            <v>6752.4978471220757</v>
          </cell>
          <cell r="I17">
            <v>375.09575908808421</v>
          </cell>
        </row>
        <row r="18">
          <cell r="B18">
            <v>6.6021571522310616</v>
          </cell>
          <cell r="C18">
            <v>218.42178493228531</v>
          </cell>
          <cell r="D18">
            <v>17.2779409338394</v>
          </cell>
          <cell r="E18">
            <v>15.649887823966919</v>
          </cell>
          <cell r="F18">
            <v>19.692107741570769</v>
          </cell>
          <cell r="G18">
            <v>23.73115102755397</v>
          </cell>
          <cell r="H18">
            <v>477.23375660672752</v>
          </cell>
          <cell r="I18">
            <v>137.3261615702263</v>
          </cell>
        </row>
        <row r="19">
          <cell r="B19">
            <v>129.67987823818109</v>
          </cell>
          <cell r="C19">
            <v>2701.9675668807909</v>
          </cell>
          <cell r="D19">
            <v>1305.818645326847</v>
          </cell>
          <cell r="E19">
            <v>617.18179768988205</v>
          </cell>
          <cell r="F19">
            <v>686.38295345845609</v>
          </cell>
          <cell r="G19">
            <v>545.10656297271623</v>
          </cell>
          <cell r="H19">
            <v>2810.6186466588401</v>
          </cell>
          <cell r="I19">
            <v>176.86797516995961</v>
          </cell>
        </row>
        <row r="20">
          <cell r="B20">
            <v>195.49236675564609</v>
          </cell>
          <cell r="C20">
            <v>3600.4212629625581</v>
          </cell>
          <cell r="D20">
            <v>1879.945855440546</v>
          </cell>
          <cell r="E20">
            <v>867.29843510903868</v>
          </cell>
          <cell r="F20">
            <v>1066.549379652605</v>
          </cell>
          <cell r="G20">
            <v>1124.1970083136709</v>
          </cell>
          <cell r="H20">
            <v>3792.673327509523</v>
          </cell>
          <cell r="I20">
            <v>195.92402975610091</v>
          </cell>
        </row>
        <row r="21">
          <cell r="B21">
            <v>261.41711631127919</v>
          </cell>
          <cell r="C21">
            <v>3847.7983716775552</v>
          </cell>
          <cell r="D21">
            <v>2283.036907231241</v>
          </cell>
          <cell r="E21">
            <v>1087.286840971354</v>
          </cell>
          <cell r="F21">
            <v>1612.1040590630089</v>
          </cell>
          <cell r="G21">
            <v>1175.9813141367681</v>
          </cell>
          <cell r="H21">
            <v>4275.1814926730576</v>
          </cell>
          <cell r="I21">
            <v>206.99533448111691</v>
          </cell>
        </row>
        <row r="22">
          <cell r="B22">
            <v>271.17587548638159</v>
          </cell>
          <cell r="C22">
            <v>3425.4638685284249</v>
          </cell>
          <cell r="D22">
            <v>2981.525121329571</v>
          </cell>
          <cell r="E22">
            <v>1400.0547739864321</v>
          </cell>
          <cell r="F22">
            <v>1690.7266986721961</v>
          </cell>
          <cell r="G22">
            <v>1180.2557656029319</v>
          </cell>
          <cell r="H22">
            <v>4643.5147433118691</v>
          </cell>
          <cell r="I22">
            <v>219.1535474973027</v>
          </cell>
        </row>
        <row r="23">
          <cell r="B23">
            <v>302.92046812399002</v>
          </cell>
          <cell r="C23">
            <v>4261.2130059834371</v>
          </cell>
          <cell r="D23">
            <v>3175.1194349074099</v>
          </cell>
          <cell r="E23">
            <v>1484.0693572039411</v>
          </cell>
          <cell r="F23">
            <v>2150.6712950899068</v>
          </cell>
          <cell r="G23">
            <v>1293.6656314014531</v>
          </cell>
          <cell r="H23">
            <v>5328.1754103273661</v>
          </cell>
          <cell r="I23">
            <v>222.382599544568</v>
          </cell>
        </row>
        <row r="24">
          <cell r="B24">
            <v>375.3322751639667</v>
          </cell>
          <cell r="C24">
            <v>4535.3828525268127</v>
          </cell>
          <cell r="D24">
            <v>3795.0241328212469</v>
          </cell>
          <cell r="E24">
            <v>1675.431139590672</v>
          </cell>
          <cell r="F24">
            <v>2898.7457177814099</v>
          </cell>
          <cell r="G24">
            <v>1274.202969795859</v>
          </cell>
          <cell r="H24">
            <v>5815.7658314836744</v>
          </cell>
          <cell r="I24">
            <v>243.86317329971899</v>
          </cell>
        </row>
        <row r="25">
          <cell r="B25">
            <v>388.83074927419852</v>
          </cell>
          <cell r="C25">
            <v>4472.7093801977671</v>
          </cell>
          <cell r="D25">
            <v>3973.9072063783942</v>
          </cell>
          <cell r="E25">
            <v>1674.3113863300771</v>
          </cell>
          <cell r="F25">
            <v>2745.6262222222249</v>
          </cell>
          <cell r="G25">
            <v>1300.660114111131</v>
          </cell>
          <cell r="H25">
            <v>6436.4603311074598</v>
          </cell>
          <cell r="I25">
            <v>247.44266687437519</v>
          </cell>
        </row>
        <row r="26">
          <cell r="B26">
            <v>442.9814971703542</v>
          </cell>
          <cell r="C26">
            <v>4577.2433495568448</v>
          </cell>
          <cell r="D26">
            <v>4224.7198671192209</v>
          </cell>
          <cell r="E26">
            <v>2008.168235625257</v>
          </cell>
          <cell r="F26">
            <v>3994.6720027482002</v>
          </cell>
          <cell r="G26">
            <v>1303.169181103415</v>
          </cell>
          <cell r="H26">
            <v>6575.0546449357489</v>
          </cell>
          <cell r="I26">
            <v>265.58630891308252</v>
          </cell>
        </row>
        <row r="27">
          <cell r="B27">
            <v>400.95804282482601</v>
          </cell>
          <cell r="C27">
            <v>4383.5657332203618</v>
          </cell>
          <cell r="D27">
            <v>4867.3285246824489</v>
          </cell>
          <cell r="E27">
            <v>2006.638452568219</v>
          </cell>
          <cell r="F27">
            <v>3728.6990650334328</v>
          </cell>
          <cell r="G27">
            <v>1307.4108624545299</v>
          </cell>
          <cell r="H27">
            <v>7133.0777331671115</v>
          </cell>
          <cell r="I27">
            <v>270.15250856803777</v>
          </cell>
        </row>
        <row r="28">
          <cell r="B28">
            <v>421.00567440125752</v>
          </cell>
          <cell r="C28">
            <v>4062.7547499356479</v>
          </cell>
          <cell r="D28">
            <v>4732.900323624599</v>
          </cell>
          <cell r="E28">
            <v>2109.9934909976259</v>
          </cell>
          <cell r="F28">
            <v>4570.7638046499833</v>
          </cell>
          <cell r="G28">
            <v>1324.202301244969</v>
          </cell>
          <cell r="H28">
            <v>7304.5126446505983</v>
          </cell>
          <cell r="I28">
            <v>278.48217631265902</v>
          </cell>
        </row>
        <row r="29">
          <cell r="B29">
            <v>6.4590920676276227</v>
          </cell>
          <cell r="C29">
            <v>230.0278181196621</v>
          </cell>
          <cell r="D29">
            <v>23.336111216334</v>
          </cell>
          <cell r="E29">
            <v>17.070536331254441</v>
          </cell>
          <cell r="F29">
            <v>19.452789195537321</v>
          </cell>
          <cell r="G29">
            <v>22.127322005235669</v>
          </cell>
          <cell r="H29">
            <v>511.42767578871718</v>
          </cell>
          <cell r="I29">
            <v>136.9202112497623</v>
          </cell>
        </row>
        <row r="30">
          <cell r="B30">
            <v>169.7774636510502</v>
          </cell>
          <cell r="C30">
            <v>2557.1881661325328</v>
          </cell>
          <cell r="D30">
            <v>1230.0610848895269</v>
          </cell>
          <cell r="E30">
            <v>604.19720499188509</v>
          </cell>
          <cell r="F30">
            <v>501.22741859736601</v>
          </cell>
          <cell r="G30">
            <v>828.48072992401831</v>
          </cell>
          <cell r="H30">
            <v>2995.4269281992902</v>
          </cell>
          <cell r="I30">
            <v>226.75556838268389</v>
          </cell>
        </row>
        <row r="31">
          <cell r="B31">
            <v>206.45209046631649</v>
          </cell>
          <cell r="C31">
            <v>3498.458953660001</v>
          </cell>
          <cell r="D31">
            <v>2020.585245085111</v>
          </cell>
          <cell r="E31">
            <v>898.97488241711585</v>
          </cell>
          <cell r="F31">
            <v>918.2263954697795</v>
          </cell>
          <cell r="G31">
            <v>2625.2774087797839</v>
          </cell>
          <cell r="H31">
            <v>4163.603000748617</v>
          </cell>
          <cell r="I31">
            <v>244.17980985882949</v>
          </cell>
        </row>
        <row r="32">
          <cell r="B32">
            <v>229.8932327389121</v>
          </cell>
          <cell r="C32">
            <v>3552.507534086536</v>
          </cell>
          <cell r="D32">
            <v>2643.875037448825</v>
          </cell>
          <cell r="E32">
            <v>1040.569530263057</v>
          </cell>
          <cell r="F32">
            <v>1105.759017250391</v>
          </cell>
          <cell r="G32">
            <v>2618.288453397533</v>
          </cell>
          <cell r="H32">
            <v>4358.5273946440757</v>
          </cell>
          <cell r="I32">
            <v>256.63913351803518</v>
          </cell>
        </row>
        <row r="33">
          <cell r="B33">
            <v>306.35495735438639</v>
          </cell>
          <cell r="C33">
            <v>4113.0973569216121</v>
          </cell>
          <cell r="D33">
            <v>2931.1870576706729</v>
          </cell>
          <cell r="E33">
            <v>1318.0254640276839</v>
          </cell>
          <cell r="F33">
            <v>1381.4289305301641</v>
          </cell>
          <cell r="G33">
            <v>2703.9359643644948</v>
          </cell>
          <cell r="H33">
            <v>4659.8013124008294</v>
          </cell>
          <cell r="I33">
            <v>277.0638065919232</v>
          </cell>
        </row>
        <row r="34">
          <cell r="B34">
            <v>327.57497392478092</v>
          </cell>
          <cell r="C34">
            <v>4275.6759129298898</v>
          </cell>
          <cell r="D34">
            <v>3554.702789008028</v>
          </cell>
          <cell r="E34">
            <v>1487.475186591186</v>
          </cell>
          <cell r="F34">
            <v>1555.8066807384309</v>
          </cell>
          <cell r="G34">
            <v>2763.3807681121489</v>
          </cell>
          <cell r="H34">
            <v>4932.7411556312627</v>
          </cell>
          <cell r="I34">
            <v>283.03561821853248</v>
          </cell>
        </row>
        <row r="35">
          <cell r="B35">
            <v>376.70651819527012</v>
          </cell>
          <cell r="C35">
            <v>4490.5184390263048</v>
          </cell>
          <cell r="D35">
            <v>4109.3112420975522</v>
          </cell>
          <cell r="E35">
            <v>1571.1951174391199</v>
          </cell>
          <cell r="F35">
            <v>1692.7518364848329</v>
          </cell>
          <cell r="G35">
            <v>2768.4137879361479</v>
          </cell>
          <cell r="H35">
            <v>5301.0348599784329</v>
          </cell>
          <cell r="I35">
            <v>303.55490653472702</v>
          </cell>
        </row>
        <row r="36">
          <cell r="B36">
            <v>416.54022962059719</v>
          </cell>
          <cell r="C36">
            <v>4388.2389689895417</v>
          </cell>
          <cell r="D36">
            <v>4021.9023318490772</v>
          </cell>
          <cell r="E36">
            <v>1745.768876446781</v>
          </cell>
          <cell r="F36">
            <v>1891.1587769915659</v>
          </cell>
          <cell r="G36">
            <v>2686.9690888972532</v>
          </cell>
          <cell r="H36">
            <v>5540.4405303218873</v>
          </cell>
          <cell r="I36">
            <v>312.54723693991161</v>
          </cell>
        </row>
        <row r="37">
          <cell r="B37">
            <v>447.69217604701453</v>
          </cell>
          <cell r="C37">
            <v>4829.0127027810577</v>
          </cell>
          <cell r="D37">
            <v>4942.0517470680716</v>
          </cell>
          <cell r="E37">
            <v>1965.744514101506</v>
          </cell>
          <cell r="F37">
            <v>2199.526230021936</v>
          </cell>
          <cell r="G37">
            <v>2768.772423082054</v>
          </cell>
          <cell r="H37">
            <v>5713.7758904233942</v>
          </cell>
          <cell r="I37">
            <v>330.43380063459517</v>
          </cell>
        </row>
        <row r="38">
          <cell r="B38">
            <v>437.65867970660162</v>
          </cell>
          <cell r="C38">
            <v>4969.5219004399833</v>
          </cell>
          <cell r="D38">
            <v>4864.8286310783787</v>
          </cell>
          <cell r="E38">
            <v>2054.6345399165239</v>
          </cell>
          <cell r="F38">
            <v>2368.3112985669059</v>
          </cell>
          <cell r="G38">
            <v>2740.417283653454</v>
          </cell>
          <cell r="H38">
            <v>5920.6101096834709</v>
          </cell>
          <cell r="I38">
            <v>344.51642364002169</v>
          </cell>
        </row>
        <row r="39">
          <cell r="B39">
            <v>450.7786167105927</v>
          </cell>
          <cell r="C39">
            <v>4351.2526234192283</v>
          </cell>
          <cell r="D39">
            <v>5245.1364513269818</v>
          </cell>
          <cell r="E39">
            <v>2038.934666933661</v>
          </cell>
          <cell r="F39">
            <v>2246.7095247184589</v>
          </cell>
          <cell r="G39">
            <v>2813.3134466757328</v>
          </cell>
          <cell r="H39">
            <v>5784.8108332879256</v>
          </cell>
          <cell r="I39">
            <v>335.22368879329849</v>
          </cell>
        </row>
        <row r="40">
          <cell r="B40">
            <v>6.6294955892333114</v>
          </cell>
          <cell r="C40">
            <v>214.08584333699949</v>
          </cell>
          <cell r="D40">
            <v>15.33268961221008</v>
          </cell>
          <cell r="E40">
            <v>15.0913381119221</v>
          </cell>
          <cell r="F40">
            <v>22.22839120008322</v>
          </cell>
          <cell r="G40">
            <v>19.988526729746159</v>
          </cell>
          <cell r="H40">
            <v>446.35136972292372</v>
          </cell>
          <cell r="I40">
            <v>143.99590584892911</v>
          </cell>
        </row>
        <row r="41">
          <cell r="B41">
            <v>159.19919652727219</v>
          </cell>
          <cell r="C41">
            <v>2646.0803011425101</v>
          </cell>
          <cell r="D41">
            <v>1120.9721553798579</v>
          </cell>
          <cell r="E41">
            <v>575.25444877101882</v>
          </cell>
          <cell r="F41">
            <v>654.77917495928807</v>
          </cell>
          <cell r="G41">
            <v>648.17066230191529</v>
          </cell>
          <cell r="H41">
            <v>2816.5877029465641</v>
          </cell>
          <cell r="I41">
            <v>212.97600508016839</v>
          </cell>
        </row>
        <row r="42">
          <cell r="B42">
            <v>234.230289585706</v>
          </cell>
          <cell r="C42">
            <v>3647.0618601324268</v>
          </cell>
          <cell r="D42">
            <v>1936.5534392686061</v>
          </cell>
          <cell r="E42">
            <v>822.8386926205792</v>
          </cell>
          <cell r="F42">
            <v>1033.384284789646</v>
          </cell>
          <cell r="G42">
            <v>1190.2995001757861</v>
          </cell>
          <cell r="H42">
            <v>3732.0127791187369</v>
          </cell>
          <cell r="I42">
            <v>234.23897277833149</v>
          </cell>
        </row>
        <row r="43">
          <cell r="B43">
            <v>244.92707437106409</v>
          </cell>
          <cell r="C43">
            <v>3887.4890929941112</v>
          </cell>
          <cell r="D43">
            <v>2284.0850507121249</v>
          </cell>
          <cell r="E43">
            <v>1172.2666828401771</v>
          </cell>
          <cell r="F43">
            <v>1263.4426575438829</v>
          </cell>
          <cell r="G43">
            <v>1250.9813186958891</v>
          </cell>
          <cell r="H43">
            <v>3980.5360683738299</v>
          </cell>
          <cell r="I43">
            <v>249.698900105175</v>
          </cell>
        </row>
        <row r="44">
          <cell r="B44">
            <v>274.44229875192201</v>
          </cell>
          <cell r="C44">
            <v>3864.8957079066231</v>
          </cell>
          <cell r="D44">
            <v>2993.9147916259112</v>
          </cell>
          <cell r="E44">
            <v>1222.368409087878</v>
          </cell>
          <cell r="F44">
            <v>1622.670890158495</v>
          </cell>
          <cell r="G44">
            <v>1256.063469631139</v>
          </cell>
          <cell r="H44">
            <v>4369.6163236666598</v>
          </cell>
          <cell r="I44">
            <v>255.21693709019351</v>
          </cell>
        </row>
        <row r="45">
          <cell r="B45">
            <v>317.83599443671721</v>
          </cell>
          <cell r="C45">
            <v>4196.6667074425422</v>
          </cell>
          <cell r="D45">
            <v>3158.040591416257</v>
          </cell>
          <cell r="E45">
            <v>1601.6119103926439</v>
          </cell>
          <cell r="F45">
            <v>1598.826782387423</v>
          </cell>
          <cell r="G45">
            <v>1282.6917972460151</v>
          </cell>
          <cell r="H45">
            <v>4510.5871876257224</v>
          </cell>
          <cell r="I45">
            <v>273.55582091174932</v>
          </cell>
        </row>
        <row r="46">
          <cell r="B46">
            <v>370.78520403170592</v>
          </cell>
          <cell r="C46">
            <v>4530.1836879344664</v>
          </cell>
          <cell r="D46">
            <v>4029.2754859371548</v>
          </cell>
          <cell r="E46">
            <v>1760.7710363024939</v>
          </cell>
          <cell r="F46">
            <v>1938.559846555564</v>
          </cell>
          <cell r="G46">
            <v>1330.8197023042089</v>
          </cell>
          <cell r="H46">
            <v>4833.9540063372633</v>
          </cell>
          <cell r="I46">
            <v>291.81815141853559</v>
          </cell>
        </row>
        <row r="47">
          <cell r="B47">
            <v>408.85783607955972</v>
          </cell>
          <cell r="C47">
            <v>4651.6643353903819</v>
          </cell>
          <cell r="D47">
            <v>4342.1894577035564</v>
          </cell>
          <cell r="E47">
            <v>1897.34185526134</v>
          </cell>
          <cell r="F47">
            <v>2111.277308653644</v>
          </cell>
          <cell r="G47">
            <v>1341.177408892938</v>
          </cell>
          <cell r="H47">
            <v>5170.027245900721</v>
          </cell>
          <cell r="I47">
            <v>299.27959442953681</v>
          </cell>
        </row>
        <row r="48">
          <cell r="B48">
            <v>444.10876040163362</v>
          </cell>
          <cell r="C48">
            <v>4968.1486354322942</v>
          </cell>
          <cell r="D48">
            <v>4398.5720427236274</v>
          </cell>
          <cell r="E48">
            <v>1925.2395451757111</v>
          </cell>
          <cell r="F48">
            <v>2172.7435279614519</v>
          </cell>
          <cell r="G48">
            <v>1372.8565866081799</v>
          </cell>
          <cell r="H48">
            <v>5430.7142662586166</v>
          </cell>
          <cell r="I48">
            <v>307.03334052485638</v>
          </cell>
        </row>
        <row r="49">
          <cell r="B49">
            <v>450.46622805567461</v>
          </cell>
          <cell r="C49">
            <v>4728.9109142120979</v>
          </cell>
          <cell r="D49">
            <v>4711.1319959879702</v>
          </cell>
          <cell r="E49">
            <v>2177.0875943320211</v>
          </cell>
          <cell r="F49">
            <v>2450.3124269859818</v>
          </cell>
          <cell r="G49">
            <v>1392.368559843283</v>
          </cell>
          <cell r="H49">
            <v>5647.668235255609</v>
          </cell>
          <cell r="I49">
            <v>313.5320421424147</v>
          </cell>
        </row>
        <row r="50">
          <cell r="B50">
            <v>458.95669786282912</v>
          </cell>
          <cell r="C50">
            <v>5035.4331243222587</v>
          </cell>
          <cell r="D50">
            <v>5328.3585372287698</v>
          </cell>
          <cell r="E50">
            <v>2303.0393994731212</v>
          </cell>
          <cell r="F50">
            <v>2634.0347741953829</v>
          </cell>
          <cell r="G50">
            <v>1368.236017400634</v>
          </cell>
          <cell r="H50">
            <v>5937.9477185987807</v>
          </cell>
          <cell r="I50">
            <v>332.76066979828693</v>
          </cell>
        </row>
        <row r="51">
          <cell r="B51">
            <v>10.590481441913308</v>
          </cell>
          <cell r="C51">
            <v>203.93184935131171</v>
          </cell>
          <cell r="D51">
            <v>26.536490808645429</v>
          </cell>
          <cell r="E51">
            <v>16.291410844252702</v>
          </cell>
          <cell r="F51">
            <v>17.710054508438997</v>
          </cell>
          <cell r="G51">
            <v>22.211113908821936</v>
          </cell>
          <cell r="H51">
            <v>552.58271589784306</v>
          </cell>
          <cell r="I51">
            <v>141.44130514312889</v>
          </cell>
        </row>
        <row r="52">
          <cell r="B52">
            <v>125.60245381952755</v>
          </cell>
          <cell r="C52">
            <v>2135.1253008525428</v>
          </cell>
          <cell r="D52">
            <v>771.66872269339376</v>
          </cell>
          <cell r="E52">
            <v>455.05114519815476</v>
          </cell>
          <cell r="F52">
            <v>324.05616794992409</v>
          </cell>
          <cell r="G52">
            <v>39.231876121606263</v>
          </cell>
          <cell r="H52">
            <v>539.32754782163295</v>
          </cell>
          <cell r="I52">
            <v>172.60970603213789</v>
          </cell>
        </row>
        <row r="53">
          <cell r="B53">
            <v>170.0136112292642</v>
          </cell>
          <cell r="C53">
            <v>2432.7316014552553</v>
          </cell>
          <cell r="D53">
            <v>1285.7283908332302</v>
          </cell>
          <cell r="E53">
            <v>733.13092600037021</v>
          </cell>
          <cell r="F53">
            <v>514.88999692633547</v>
          </cell>
          <cell r="G53">
            <v>36.87964045377219</v>
          </cell>
          <cell r="H53">
            <v>555.16506476240227</v>
          </cell>
          <cell r="I53">
            <v>190.45609650474128</v>
          </cell>
        </row>
        <row r="54">
          <cell r="B54">
            <v>208.9975965765874</v>
          </cell>
          <cell r="C54">
            <v>3071.9773452852069</v>
          </cell>
          <cell r="D54">
            <v>1682.8649141520134</v>
          </cell>
          <cell r="E54">
            <v>939.32739050208818</v>
          </cell>
          <cell r="F54">
            <v>706.5509517130813</v>
          </cell>
          <cell r="G54">
            <v>28.344814667151482</v>
          </cell>
          <cell r="H54">
            <v>566.08974824012762</v>
          </cell>
          <cell r="I54">
            <v>199.68048059660288</v>
          </cell>
        </row>
        <row r="55">
          <cell r="B55">
            <v>261.27210576015125</v>
          </cell>
          <cell r="C55">
            <v>3251.5989074343051</v>
          </cell>
          <cell r="D55">
            <v>2182.1927375516475</v>
          </cell>
          <cell r="E55">
            <v>1198.7398906930293</v>
          </cell>
          <cell r="F55">
            <v>946.78811985389825</v>
          </cell>
          <cell r="G55">
            <v>38.149295692781941</v>
          </cell>
          <cell r="H55">
            <v>529.59323200419954</v>
          </cell>
          <cell r="I55">
            <v>205.66302427827469</v>
          </cell>
        </row>
        <row r="56">
          <cell r="B56">
            <v>305.20732864060705</v>
          </cell>
          <cell r="C56">
            <v>3369.7357022911483</v>
          </cell>
          <cell r="D56">
            <v>2318.0721605465396</v>
          </cell>
          <cell r="E56">
            <v>1411.8253955498976</v>
          </cell>
          <cell r="F56">
            <v>1069.5876244050203</v>
          </cell>
          <cell r="G56">
            <v>28.671304213417674</v>
          </cell>
          <cell r="H56">
            <v>580.45328319382088</v>
          </cell>
          <cell r="I56">
            <v>220.55600785955605</v>
          </cell>
        </row>
        <row r="57">
          <cell r="B57">
            <v>347.12753257188746</v>
          </cell>
          <cell r="C57">
            <v>3630.2020854818543</v>
          </cell>
          <cell r="D57">
            <v>2662.8572455683616</v>
          </cell>
          <cell r="E57">
            <v>1597.1348407209532</v>
          </cell>
          <cell r="F57">
            <v>1236.8595626140707</v>
          </cell>
          <cell r="G57">
            <v>32.941563252568585</v>
          </cell>
          <cell r="H57">
            <v>587.85815692335734</v>
          </cell>
          <cell r="I57">
            <v>228.78030406398503</v>
          </cell>
        </row>
        <row r="58">
          <cell r="B58">
            <v>388.67634265166413</v>
          </cell>
          <cell r="C58">
            <v>3649.4767825605413</v>
          </cell>
          <cell r="D58">
            <v>2988.5006693838714</v>
          </cell>
          <cell r="E58">
            <v>1696.3908494351197</v>
          </cell>
          <cell r="F58">
            <v>1331.9325552864211</v>
          </cell>
          <cell r="G58">
            <v>38.357692862217029</v>
          </cell>
          <cell r="H58">
            <v>595.09912513695053</v>
          </cell>
          <cell r="I58">
            <v>238.20604736152617</v>
          </cell>
        </row>
        <row r="59">
          <cell r="B59">
            <v>388.03676162884267</v>
          </cell>
          <cell r="C59">
            <v>3940.5861281628722</v>
          </cell>
          <cell r="D59">
            <v>3343.7312141168495</v>
          </cell>
          <cell r="E59">
            <v>2050.4948460613186</v>
          </cell>
          <cell r="F59">
            <v>1461.7062893081747</v>
          </cell>
          <cell r="G59">
            <v>32.182363152552611</v>
          </cell>
          <cell r="H59">
            <v>529.64438709459182</v>
          </cell>
          <cell r="I59">
            <v>249.48255123214639</v>
          </cell>
        </row>
        <row r="60">
          <cell r="B60">
            <v>404.38215588160415</v>
          </cell>
          <cell r="C60">
            <v>4019.4916416854367</v>
          </cell>
          <cell r="D60">
            <v>3789.7134397990394</v>
          </cell>
          <cell r="E60">
            <v>2189.2546569523515</v>
          </cell>
          <cell r="F60">
            <v>1703.3793381969761</v>
          </cell>
          <cell r="G60">
            <v>28.935670260549127</v>
          </cell>
          <cell r="H60">
            <v>535.9418778375998</v>
          </cell>
          <cell r="I60">
            <v>258.20080790615089</v>
          </cell>
        </row>
        <row r="61">
          <cell r="B61">
            <v>449.66486309231067</v>
          </cell>
          <cell r="C61">
            <v>4188.887175148152</v>
          </cell>
          <cell r="D61">
            <v>4158.2904752591467</v>
          </cell>
          <cell r="E61">
            <v>2255.5108345635044</v>
          </cell>
          <cell r="F61">
            <v>1875.5614206837181</v>
          </cell>
          <cell r="G61">
            <v>28.649040266811454</v>
          </cell>
          <cell r="H61">
            <v>536.41158349790646</v>
          </cell>
          <cell r="I61">
            <v>268.04669116143521</v>
          </cell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nsTable" displayName="RunsTable" ref="A1:O120">
  <autoFilter ref="A1:O120" xr:uid="{00000000-0009-0000-0100-000001000000}"/>
  <tableColumns count="15">
    <tableColumn id="1" xr3:uid="{00000000-0010-0000-0000-000001000000}" name="RunID"/>
    <tableColumn id="2" xr3:uid="{00000000-0010-0000-0000-000002000000}" name="RunDate"/>
    <tableColumn id="3" xr3:uid="{00000000-0010-0000-0000-000003000000}" name="Scenario"/>
    <tableColumn id="4" xr3:uid="{00000000-0010-0000-0000-000004000000}" name="Exagon_ver"/>
    <tableColumn id="5" xr3:uid="{00000000-0010-0000-0000-000005000000}" name="uSrvA_ver"/>
    <tableColumn id="6" xr3:uid="{00000000-0010-0000-0000-000006000000}" name="uSrvB_ver"/>
    <tableColumn id="7" xr3:uid="{00000000-0010-0000-0000-000007000000}" name="uSrvC_ver"/>
    <tableColumn id="9" xr3:uid="{00000000-0010-0000-0000-000009000000}" name="Saturated" dataDxfId="17"/>
    <tableColumn id="15" xr3:uid="{00000000-0010-0000-0000-00000F000000}" name="Target_TPS"/>
    <tableColumn id="8" xr3:uid="{00000000-0010-0000-0000-000008000000}" name="Effective_TPS"/>
    <tableColumn id="13" xr3:uid="{00000000-0010-0000-0000-00000D000000}" name="Error_%"/>
    <tableColumn id="14" xr3:uid="{00000000-0010-0000-0000-00000E000000}" name="Throt_max_%" dataDxfId="16">
      <calculatedColumnFormula>MAX('[1]Throttle_%'!B2:AE2)</calculatedColumnFormula>
    </tableColumn>
    <tableColumn id="12" xr3:uid="{29898FA5-C558-4DAC-B140-12607A633B9D}" name="Throt_max_pod" dataDxfId="15">
      <calculatedColumnFormula>SUM([2]Core_mCPU!B2:I2)</calculatedColumnFormula>
    </tableColumn>
    <tableColumn id="40" xr3:uid="{00000000-0010-0000-0000-000028000000}" name="Core_sum_mCPU"/>
    <tableColumn id="10" xr3:uid="{00000000-0010-0000-0000-00000A000000}" name="Lat_avg_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nsTable3" displayName="RunsTable3" ref="A1:AE120">
  <autoFilter ref="A1:AE120" xr:uid="{00000000-0009-0000-0100-000002000000}"/>
  <tableColumns count="31">
    <tableColumn id="1" xr3:uid="{00000000-0010-0000-0100-000001000000}" name="RunID"/>
    <tableColumn id="84" xr3:uid="{00000000-0010-0000-0100-000054000000}" name="im"/>
    <tableColumn id="9" xr3:uid="{00000000-0010-0000-0100-000009000000}" name="kafka"/>
    <tableColumn id="6" xr3:uid="{00000000-0010-0000-0100-000006000000}" name="orch-a"/>
    <tableColumn id="5" xr3:uid="{00000000-0010-0000-0100-000005000000}" name="part-b"/>
    <tableColumn id="4" xr3:uid="{00000000-0010-0000-0100-000004000000}" name="part-c"/>
    <tableColumn id="8" xr3:uid="{00000000-0010-0000-0100-000008000000}" name="rf"/>
    <tableColumn id="2" xr3:uid="{00000000-0010-0000-0100-000002000000}" name="mongo"/>
    <tableColumn id="10" xr3:uid="{00000000-0010-0000-0100-00000A000000}" name="redis"/>
    <tableColumn id="15" xr3:uid="{00000000-0010-0000-0100-00000F000000}" name="kafka-0"/>
    <tableColumn id="86" xr3:uid="{00000000-0010-0000-0100-000056000000}" name="kafka-1"/>
    <tableColumn id="85" xr3:uid="{00000000-0010-0000-0100-000055000000}" name="kafka-2"/>
    <tableColumn id="83" xr3:uid="{00000000-0010-0000-0100-000053000000}" name="orch-a-0"/>
    <tableColumn id="82" xr3:uid="{00000000-0010-0000-0100-000052000000}" name="orch-a-1"/>
    <tableColumn id="81" xr3:uid="{00000000-0010-0000-0100-000051000000}" name="part-b-0"/>
    <tableColumn id="80" xr3:uid="{00000000-0010-0000-0100-000050000000}" name="part-c-0"/>
    <tableColumn id="79" xr3:uid="{00000000-0010-0000-0100-00004F000000}" name="rf-a-0"/>
    <tableColumn id="78" xr3:uid="{00000000-0010-0000-0100-00004E000000}" name="rf-b-0"/>
    <tableColumn id="77" xr3:uid="{00000000-0010-0000-0100-00004D000000}" name="rf-c-0"/>
    <tableColumn id="76" xr3:uid="{00000000-0010-0000-0100-00004C000000}" name="mongo-a-0"/>
    <tableColumn id="75" xr3:uid="{00000000-0010-0000-0100-00004B000000}" name="mongo-a-1"/>
    <tableColumn id="74" xr3:uid="{00000000-0010-0000-0100-00004A000000}" name="mongo-b-0"/>
    <tableColumn id="73" xr3:uid="{00000000-0010-0000-0100-000049000000}" name="mongo-b-1"/>
    <tableColumn id="72" xr3:uid="{00000000-0010-0000-0100-000048000000}" name="mongo-c-0"/>
    <tableColumn id="71" xr3:uid="{00000000-0010-0000-0100-000047000000}" name="mongo-c-1"/>
    <tableColumn id="70" xr3:uid="{00000000-0010-0000-0100-000046000000}" name="redis-a-0"/>
    <tableColumn id="69" xr3:uid="{00000000-0010-0000-0100-000045000000}" name="redis-a-1"/>
    <tableColumn id="68" xr3:uid="{00000000-0010-0000-0100-000044000000}" name="redis-b-0"/>
    <tableColumn id="67" xr3:uid="{00000000-0010-0000-0100-000043000000}" name="redis-b-1"/>
    <tableColumn id="66" xr3:uid="{00000000-0010-0000-0100-000042000000}" name="redis-c-0"/>
    <tableColumn id="65" xr3:uid="{00000000-0010-0000-0100-000041000000}" name="redis-c-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495570-B30E-41E1-8873-FE742B7D9952}" name="Tabela6" displayName="Tabela6" ref="A1:AE120" totalsRowShown="0" headerRowDxfId="14" headerRowBorderDxfId="13" tableBorderDxfId="12">
  <autoFilter ref="A1:AE120" xr:uid="{78495570-B30E-41E1-8873-FE742B7D9952}"/>
  <tableColumns count="31">
    <tableColumn id="1" xr3:uid="{52E2004B-EA1A-4C34-B804-B3F26D991094}" name="RunID"/>
    <tableColumn id="2" xr3:uid="{E1BC488B-3460-4C2B-8022-F24236C9E6AA}" name="im"/>
    <tableColumn id="3" xr3:uid="{A11389F1-F7F8-4870-8F18-1C08D21E0507}" name="kafka"/>
    <tableColumn id="4" xr3:uid="{8326D41A-11DC-4D8A-9A9D-F3711907424F}" name="orch-a"/>
    <tableColumn id="5" xr3:uid="{A652C106-B9FF-43FB-8E1D-B2A27CFEBD17}" name="part-b"/>
    <tableColumn id="6" xr3:uid="{7AFF860B-9001-49B2-88DC-825C7EAB53D0}" name="part-c"/>
    <tableColumn id="7" xr3:uid="{4ADD840E-6B4E-48FF-8A85-7497C3D9261F}" name="rf"/>
    <tableColumn id="8" xr3:uid="{06986C1F-801D-42C5-8874-35339F29E7F6}" name="mongo"/>
    <tableColumn id="9" xr3:uid="{E73FD2A9-B30E-4517-BA5E-ADB463806A9B}" name="redis"/>
    <tableColumn id="10" xr3:uid="{E976E2C5-81CD-482A-AD7C-5A2C5374DC75}" name="kafka-0"/>
    <tableColumn id="11" xr3:uid="{5F994893-4298-4797-882D-E1CDB32FF17F}" name="kafka-1"/>
    <tableColumn id="12" xr3:uid="{711BC6CE-E84F-4844-A7FA-823D40CDB35E}" name="kafka-2"/>
    <tableColumn id="13" xr3:uid="{BB44AAE9-A2F1-4A5C-A573-6DBB35FB9268}" name="orch-a-0"/>
    <tableColumn id="14" xr3:uid="{15B736DE-7529-4B29-8AB5-FF5E7D75FAF3}" name="orch-a-1"/>
    <tableColumn id="15" xr3:uid="{E30404FD-931C-44CA-9712-EFBB542497C4}" name="part-b-0"/>
    <tableColumn id="16" xr3:uid="{5C80605F-A646-42BE-A059-44CB322B0BDE}" name="part-c-0"/>
    <tableColumn id="17" xr3:uid="{9DC3FB25-C39D-4371-BE74-A4F7E991A9A4}" name="rf-a-0"/>
    <tableColumn id="18" xr3:uid="{0A8493BB-8D00-4560-9F19-690FC6AEF525}" name="rf-b-0"/>
    <tableColumn id="19" xr3:uid="{1174F679-6EEB-4183-9B87-A8C78AEAE27A}" name="rf-c-0"/>
    <tableColumn id="20" xr3:uid="{9C648E4C-BC32-49D6-A94E-1DEE79B1B885}" name="mongo-a-0"/>
    <tableColumn id="21" xr3:uid="{B43E6744-BAF4-484A-BFAE-A1DFFB70F090}" name="mongo-a-1"/>
    <tableColumn id="22" xr3:uid="{96531610-C165-4276-BD17-19BB7DFC24C8}" name="mongo-b-0"/>
    <tableColumn id="23" xr3:uid="{B511BD1F-0312-45CD-8107-84D29334200A}" name="mongo-b-1"/>
    <tableColumn id="24" xr3:uid="{4EFEE6A7-3F56-4BE7-8914-23732E054872}" name="mongo-c-0"/>
    <tableColumn id="25" xr3:uid="{7A1CE231-656E-4FA2-8538-D6FF8D62714C}" name="mongo-c-1"/>
    <tableColumn id="26" xr3:uid="{454D2679-5A60-438F-9BE3-990F38BFDBEC}" name="redis-a-0"/>
    <tableColumn id="27" xr3:uid="{6A2623B3-6BF0-4198-A21E-3C75C9253B42}" name="redis-a-1"/>
    <tableColumn id="28" xr3:uid="{9467F1B8-B47E-44B7-A639-A4F397AB8B1B}" name="redis-b-0"/>
    <tableColumn id="29" xr3:uid="{28901B40-A121-4A98-986D-19ED8DBB272A}" name="redis-b-1"/>
    <tableColumn id="30" xr3:uid="{AEC97457-B127-498A-9EE9-683F9399F4EC}" name="redis-c-0"/>
    <tableColumn id="31" xr3:uid="{1758AC18-8754-4B6C-8DCB-BFE9A1F2A077}" name="redis-c-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1FFFF6-D6D8-4210-926D-6CC7BA58B6B7}" name="RunsTable3456" displayName="RunsTable3456" ref="A1:AE120">
  <autoFilter ref="A1:AE120" xr:uid="{711FFFF6-D6D8-4210-926D-6CC7BA58B6B7}"/>
  <tableColumns count="31">
    <tableColumn id="1" xr3:uid="{BFD4FD9B-7D14-45E7-A4E1-1922CC1C60A5}" name="RunID"/>
    <tableColumn id="15" xr3:uid="{6B641C4C-8F7E-412F-A5AB-E4DC907C754F}" name="im"/>
    <tableColumn id="86" xr3:uid="{DB5274EB-B0FD-44D7-877C-DBC3517D322E}" name="kafka"/>
    <tableColumn id="85" xr3:uid="{39393CE7-69A2-4C5E-B889-6339169ED751}" name="orch-a"/>
    <tableColumn id="84" xr3:uid="{2C2449E3-BB18-4B0A-8C94-776B72F5E96F}" name="part-b"/>
    <tableColumn id="83" xr3:uid="{B72621A5-56CB-484F-83EF-3F8224EDE979}" name="part-c"/>
    <tableColumn id="82" xr3:uid="{EE52348D-5A17-4587-AABA-7E77E224DA2A}" name="rf"/>
    <tableColumn id="81" xr3:uid="{A8D84BD7-8D72-4183-A0DE-005B6A9B40E4}" name="mongo"/>
    <tableColumn id="80" xr3:uid="{F76A8515-8872-4EF2-AE47-36EAD228888A}" name="redis"/>
    <tableColumn id="79" xr3:uid="{11E25A31-0343-4E77-A489-8480D376F5EF}" name="kafka-0"/>
    <tableColumn id="78" xr3:uid="{DE143C11-A757-4306-96E5-15D5DADF7B18}" name="kafka-1"/>
    <tableColumn id="77" xr3:uid="{15E5E76F-D912-4902-84C9-DBC28EB3972B}" name="kafka-2"/>
    <tableColumn id="76" xr3:uid="{9F95261B-3DC2-4D5D-AAB8-FDB29EFA03C3}" name="orch-a-0"/>
    <tableColumn id="75" xr3:uid="{E83260F7-673A-4B9B-8B3F-62C7DC91D50B}" name="orch-a-1"/>
    <tableColumn id="74" xr3:uid="{CE6BB60F-A026-4BB6-86DB-54F40C4C1FDE}" name="part-b-0"/>
    <tableColumn id="73" xr3:uid="{E13D4002-A806-4828-A5D7-DD2CC08CBD48}" name="part-c-0"/>
    <tableColumn id="72" xr3:uid="{189EBDE1-6AC0-4603-AA64-369A55661FD7}" name="rf-a-0"/>
    <tableColumn id="71" xr3:uid="{283C14DE-8D28-4B78-BF82-83DDF36C6F1C}" name="rf-b-0"/>
    <tableColumn id="70" xr3:uid="{C87D51B5-801C-46E6-BB3D-831397C9E0BE}" name="rf-c-0"/>
    <tableColumn id="69" xr3:uid="{4C06BFA3-D198-4E0C-8ACE-4EE1664D5E73}" name="mongo-a-0"/>
    <tableColumn id="68" xr3:uid="{6D2D2150-3ED0-4065-B629-AC97C44B26DD}" name="mongo-a-1"/>
    <tableColumn id="67" xr3:uid="{AA5298D5-034B-4251-BF2F-89B979A83CA3}" name="mongo-b-0"/>
    <tableColumn id="66" xr3:uid="{37302174-7659-4804-9A15-995CE75B6749}" name="mongo-b-1"/>
    <tableColumn id="65" xr3:uid="{779847A6-8431-41E8-9B0F-E1166E70D213}" name="mongo-c-0"/>
    <tableColumn id="2" xr3:uid="{8F695574-FAE1-46C2-902C-52A7DE2904B0}" name="mongo-c-1"/>
    <tableColumn id="3" xr3:uid="{CF980D22-BCE2-46D8-B5DC-B64D14C3299F}" name="redis-a-0"/>
    <tableColumn id="4" xr3:uid="{E8E45528-1A93-4EDE-ACBF-537DCFBCD917}" name="redis-a-1"/>
    <tableColumn id="5" xr3:uid="{F0ABAFA0-BA25-4B7C-BCDA-55BC491536A2}" name="redis-b-0"/>
    <tableColumn id="6" xr3:uid="{AEA03152-FC25-488C-B3D9-C143E382BF2C}" name="redis-b-1"/>
    <tableColumn id="7" xr3:uid="{A62FD1D2-3293-4F1A-99C1-159CF750C30B}" name="redis-c-0"/>
    <tableColumn id="8" xr3:uid="{57B664AE-B619-490A-84F8-436DFE35536E}" name="redis-c-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0E7CBE-2373-4BA6-A156-665C023EA43A}" name="RegressionTable" displayName="RegressionTable" ref="A1:I12" totalsRowShown="0">
  <autoFilter ref="A1:I12" xr:uid="{420E7CBE-2373-4BA6-A156-665C023EA43A}"/>
  <tableColumns count="9">
    <tableColumn id="1" xr3:uid="{37DA8960-5F0C-47D3-A751-89CF6053B65F}" name="TestID"/>
    <tableColumn id="2" xr3:uid="{7BEB940C-A2A3-401E-AC08-B8B65AA8A1DA}" name="Scenario"/>
    <tableColumn id="3" xr3:uid="{501740AB-910B-400A-882B-C7014A852CFB}" name="Exagon_ver"/>
    <tableColumn id="4" xr3:uid="{DBE9280D-361E-4B6B-BE22-C904310458B6}" name="Base CPU (idle)" dataDxfId="11"/>
    <tableColumn id="5" xr3:uid="{F7EE66EE-187C-4EDA-9846-FCA2C0FF5E36}" name="Marginal CPU (L)" dataDxfId="10"/>
    <tableColumn id="6" xr3:uid="{75F514F2-4F27-4FED-A625-72DBC2CCCC73}" name="Transient overhead (extra)" dataDxfId="9"/>
    <tableColumn id="7" xr3:uid="{1D3E5D5F-095A-4B6C-9CC7-A3F041AB6613}" name="Overhead half-saturation const. (k)" dataDxfId="8"/>
    <tableColumn id="8" xr3:uid="{9DD439A9-42BD-4192-8047-B40C60D19BE1}" name="R2" dataDxfId="7"/>
    <tableColumn id="9" xr3:uid="{232C3D58-9CF8-487E-8FA4-8118C76D55D8}" name="Points Fitted/Total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workbookViewId="0">
      <selection activeCell="A7" sqref="A7"/>
    </sheetView>
  </sheetViews>
  <sheetFormatPr defaultRowHeight="15" customHeight="1" x14ac:dyDescent="0.3"/>
  <cols>
    <col min="1" max="1" width="44.33203125" customWidth="1"/>
    <col min="2" max="2" width="11.33203125" customWidth="1"/>
    <col min="3" max="3" width="19.33203125" customWidth="1"/>
    <col min="4" max="7" width="13.109375" customWidth="1"/>
    <col min="8" max="9" width="12.109375" customWidth="1"/>
    <col min="10" max="10" width="13.44140625" customWidth="1"/>
    <col min="11" max="11" width="10.5546875" customWidth="1"/>
    <col min="12" max="13" width="13.33203125" customWidth="1"/>
    <col min="14" max="14" width="17.33203125" customWidth="1"/>
    <col min="15" max="15" width="12.88671875" customWidth="1"/>
  </cols>
  <sheetData>
    <row r="1" spans="1:15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4" x14ac:dyDescent="0.3">
      <c r="A2" t="s">
        <v>201</v>
      </c>
      <c r="B2" s="6">
        <v>46150</v>
      </c>
      <c r="C2" t="s">
        <v>15</v>
      </c>
      <c r="D2" t="s">
        <v>148</v>
      </c>
      <c r="E2" t="s">
        <v>149</v>
      </c>
      <c r="F2" t="s">
        <v>150</v>
      </c>
      <c r="G2" t="s">
        <v>16</v>
      </c>
      <c r="H2" t="b">
        <f t="shared" ref="H2:H6" si="0">L2&gt;20</f>
        <v>0</v>
      </c>
      <c r="I2">
        <v>50</v>
      </c>
      <c r="J2">
        <v>50</v>
      </c>
      <c r="K2">
        <v>2.8117672852380931E-12</v>
      </c>
      <c r="L2" s="9">
        <f>MAX('[1]Throttle_%'!B2:AE2)</f>
        <v>17.117117117117115</v>
      </c>
      <c r="M2">
        <f>SUM([2]Core_mCPU!B2:I2)</f>
        <v>2349.268251538831</v>
      </c>
      <c r="N2">
        <f>SUM(Core_mCPU!B2:I2)</f>
        <v>2349.268251538831</v>
      </c>
      <c r="O2">
        <v>34.897799999999997</v>
      </c>
    </row>
    <row r="3" spans="1:15" ht="14.4" x14ac:dyDescent="0.3">
      <c r="A3" s="5" t="s">
        <v>202</v>
      </c>
      <c r="B3" s="6">
        <v>46150</v>
      </c>
      <c r="C3" s="5" t="s">
        <v>15</v>
      </c>
      <c r="D3" t="s">
        <v>148</v>
      </c>
      <c r="E3" t="s">
        <v>149</v>
      </c>
      <c r="F3" t="s">
        <v>150</v>
      </c>
      <c r="G3" t="s">
        <v>16</v>
      </c>
      <c r="H3" t="b">
        <f t="shared" si="0"/>
        <v>0</v>
      </c>
      <c r="I3" s="7">
        <v>75</v>
      </c>
      <c r="J3" s="8">
        <v>74.959949455462635</v>
      </c>
      <c r="K3" s="9">
        <v>0</v>
      </c>
      <c r="L3" s="9">
        <f>MAX('[1]Throttle_%'!B3:AE3)</f>
        <v>16.141001855287566</v>
      </c>
      <c r="M3" s="7">
        <f>SUM([2]Core_mCPU!B3:I3)</f>
        <v>2783.2072112265691</v>
      </c>
      <c r="N3">
        <f>SUM(Core_mCPU!B3:I3)</f>
        <v>2783.2072112265691</v>
      </c>
      <c r="O3" s="8">
        <v>37.588956100164566</v>
      </c>
    </row>
    <row r="4" spans="1:15" ht="14.4" x14ac:dyDescent="0.3">
      <c r="A4" s="5" t="s">
        <v>203</v>
      </c>
      <c r="B4" s="6">
        <v>46150</v>
      </c>
      <c r="C4" s="5" t="s">
        <v>15</v>
      </c>
      <c r="D4" t="s">
        <v>148</v>
      </c>
      <c r="E4" t="s">
        <v>149</v>
      </c>
      <c r="F4" t="s">
        <v>150</v>
      </c>
      <c r="G4" t="s">
        <v>16</v>
      </c>
      <c r="H4" t="b">
        <f t="shared" si="0"/>
        <v>0</v>
      </c>
      <c r="I4" s="7">
        <v>150</v>
      </c>
      <c r="J4" s="8">
        <v>144.78166666666667</v>
      </c>
      <c r="K4" s="9">
        <v>2.8117625545261194E-12</v>
      </c>
      <c r="L4" s="9">
        <f>MAX('[1]Throttle_%'!B4:AE4)</f>
        <v>17.017438364401684</v>
      </c>
      <c r="M4" s="7">
        <f>SUM([2]Core_mCPU!B4:I4)</f>
        <v>3449.1889869208148</v>
      </c>
      <c r="N4">
        <f>SUM(Core_mCPU!B4:I4)</f>
        <v>3449.1889869208148</v>
      </c>
      <c r="O4" s="8">
        <v>48.541384629552887</v>
      </c>
    </row>
    <row r="5" spans="1:15" ht="14.4" x14ac:dyDescent="0.3">
      <c r="A5" s="5" t="s">
        <v>204</v>
      </c>
      <c r="B5" s="6">
        <v>46150</v>
      </c>
      <c r="C5" s="5" t="s">
        <v>15</v>
      </c>
      <c r="D5" t="s">
        <v>148</v>
      </c>
      <c r="E5" t="s">
        <v>149</v>
      </c>
      <c r="F5" t="s">
        <v>150</v>
      </c>
      <c r="G5" t="s">
        <v>16</v>
      </c>
      <c r="H5" t="b">
        <f t="shared" si="0"/>
        <v>0</v>
      </c>
      <c r="I5" s="7">
        <v>200</v>
      </c>
      <c r="J5" s="8">
        <v>186.93666666666667</v>
      </c>
      <c r="K5" s="9">
        <v>5.6234965585786567E-12</v>
      </c>
      <c r="L5" s="9">
        <f>MAX('[1]Throttle_%'!B5:AE5)</f>
        <v>17.341430499325238</v>
      </c>
      <c r="M5" s="7">
        <f>SUM([2]Core_mCPU!B5:I5)</f>
        <v>3819.8708797974459</v>
      </c>
      <c r="N5">
        <f>SUM(Core_mCPU!B5:I5)</f>
        <v>3819.8708797974459</v>
      </c>
      <c r="O5" s="8">
        <v>54.352933309557777</v>
      </c>
    </row>
    <row r="6" spans="1:15" ht="14.4" x14ac:dyDescent="0.3">
      <c r="A6" s="5" t="s">
        <v>205</v>
      </c>
      <c r="B6" s="6">
        <v>46161</v>
      </c>
      <c r="C6" s="5" t="s">
        <v>15</v>
      </c>
      <c r="D6" t="s">
        <v>148</v>
      </c>
      <c r="E6" t="s">
        <v>149</v>
      </c>
      <c r="F6" t="s">
        <v>150</v>
      </c>
      <c r="G6" t="s">
        <v>16</v>
      </c>
      <c r="H6" t="b">
        <f t="shared" si="0"/>
        <v>0</v>
      </c>
      <c r="I6" s="7">
        <v>30000</v>
      </c>
      <c r="J6" s="8">
        <v>5058.4542697695406</v>
      </c>
      <c r="K6" s="9">
        <v>6.9723036028732403E-9</v>
      </c>
      <c r="L6" s="9">
        <f>MAX('[1]Throttle_%'!B6:AE6)</f>
        <v>16.990005878894767</v>
      </c>
      <c r="M6" s="7">
        <f>SUM([2]Core_mCPU!B6:I6)</f>
        <v>18111.048736502824</v>
      </c>
      <c r="N6">
        <f>SUM(Core_mCPU!B6:I6)</f>
        <v>18111.048736502824</v>
      </c>
      <c r="O6" s="8">
        <v>78.208220603367209</v>
      </c>
    </row>
    <row r="7" spans="1:15" ht="14.4" x14ac:dyDescent="0.3">
      <c r="A7" s="5" t="s">
        <v>154</v>
      </c>
      <c r="B7" s="6">
        <v>46162</v>
      </c>
      <c r="C7" s="5" t="s">
        <v>17</v>
      </c>
      <c r="D7" t="s">
        <v>148</v>
      </c>
      <c r="E7" t="s">
        <v>151</v>
      </c>
      <c r="F7" t="s">
        <v>152</v>
      </c>
      <c r="G7" t="s">
        <v>153</v>
      </c>
      <c r="H7" t="b">
        <f>L7&gt;20</f>
        <v>0</v>
      </c>
      <c r="I7" s="7">
        <v>1</v>
      </c>
      <c r="J7" s="8">
        <v>1</v>
      </c>
      <c r="K7" s="9">
        <v>0</v>
      </c>
      <c r="L7" s="9">
        <f>MAX('[1]Throttle_%'!B7:AE7)</f>
        <v>7.268934120477982</v>
      </c>
      <c r="M7" s="9">
        <f>SUM([2]Core_mCPU!B7:I7)</f>
        <v>919.62133386190999</v>
      </c>
      <c r="N7">
        <f>SUM(Core_mCPU!B7:I7)</f>
        <v>919.62133386190999</v>
      </c>
      <c r="O7" s="8">
        <v>40.888333333333343</v>
      </c>
    </row>
    <row r="8" spans="1:15" ht="14.4" x14ac:dyDescent="0.3">
      <c r="A8" s="5" t="s">
        <v>155</v>
      </c>
      <c r="B8" s="6">
        <v>46163</v>
      </c>
      <c r="C8" s="5" t="s">
        <v>17</v>
      </c>
      <c r="D8" t="s">
        <v>148</v>
      </c>
      <c r="E8" t="s">
        <v>151</v>
      </c>
      <c r="F8" t="s">
        <v>152</v>
      </c>
      <c r="G8" t="s">
        <v>153</v>
      </c>
      <c r="H8" t="b">
        <f t="shared" ref="H8:H71" si="1">L8&gt;20</f>
        <v>0</v>
      </c>
      <c r="I8" s="7">
        <v>300</v>
      </c>
      <c r="J8" s="8">
        <v>300.00033351899219</v>
      </c>
      <c r="K8" s="9">
        <v>2.8100580285799722E-12</v>
      </c>
      <c r="L8" s="9">
        <f>MAX('[1]Throttle_%'!B8:AE8)</f>
        <v>8.1193982309730774</v>
      </c>
      <c r="M8" s="9">
        <f>SUM([2]Core_mCPU!B8:I8)</f>
        <v>9414.9417873815655</v>
      </c>
      <c r="N8">
        <f>SUM(Core_mCPU!B8:I8)</f>
        <v>9414.9417873815655</v>
      </c>
      <c r="O8" s="8">
        <v>62.38181979888715</v>
      </c>
    </row>
    <row r="9" spans="1:15" ht="14.4" x14ac:dyDescent="0.3">
      <c r="A9" s="5" t="s">
        <v>156</v>
      </c>
      <c r="B9" s="6">
        <v>46162</v>
      </c>
      <c r="C9" s="5" t="s">
        <v>17</v>
      </c>
      <c r="D9" t="s">
        <v>148</v>
      </c>
      <c r="E9" t="s">
        <v>151</v>
      </c>
      <c r="F9" t="s">
        <v>152</v>
      </c>
      <c r="G9" t="s">
        <v>153</v>
      </c>
      <c r="H9" s="16" t="b">
        <f t="shared" si="1"/>
        <v>0</v>
      </c>
      <c r="I9" s="7">
        <v>600</v>
      </c>
      <c r="J9" s="8">
        <v>594.65940283752082</v>
      </c>
      <c r="K9" s="9">
        <v>2.0705771103657321E-11</v>
      </c>
      <c r="L9" s="9">
        <f>MAX('[1]Throttle_%'!B9:AE9)</f>
        <v>7.7296568538898258</v>
      </c>
      <c r="M9">
        <f>SUM([2]Core_mCPU!B9:I9)</f>
        <v>13067.028067701558</v>
      </c>
      <c r="N9">
        <f>SUM(Core_mCPU!B9:I9)</f>
        <v>13067.028067701558</v>
      </c>
      <c r="O9" s="8">
        <v>81.396371354036162</v>
      </c>
    </row>
    <row r="10" spans="1:15" ht="14.4" x14ac:dyDescent="0.3">
      <c r="A10" s="5" t="s">
        <v>157</v>
      </c>
      <c r="B10" s="6">
        <v>46163</v>
      </c>
      <c r="C10" s="5" t="s">
        <v>17</v>
      </c>
      <c r="D10" t="s">
        <v>148</v>
      </c>
      <c r="E10" t="s">
        <v>151</v>
      </c>
      <c r="F10" t="s">
        <v>152</v>
      </c>
      <c r="G10" t="s">
        <v>153</v>
      </c>
      <c r="H10" s="16" t="b">
        <f t="shared" si="1"/>
        <v>0</v>
      </c>
      <c r="I10" s="7">
        <v>900</v>
      </c>
      <c r="J10" s="8">
        <v>871.72397471345971</v>
      </c>
      <c r="K10" s="9">
        <v>1.6017318606130271E-10</v>
      </c>
      <c r="L10" s="9">
        <f>MAX('[1]Throttle_%'!B10:AE10)</f>
        <v>8.2579065130404619</v>
      </c>
      <c r="M10">
        <f>SUM([2]Core_mCPU!B10:I10)</f>
        <v>14261.318148559112</v>
      </c>
      <c r="N10">
        <f>SUM(Core_mCPU!B10:I10)</f>
        <v>14261.318148559112</v>
      </c>
      <c r="O10" s="8">
        <v>112.47111744234959</v>
      </c>
    </row>
    <row r="11" spans="1:15" ht="14.4" x14ac:dyDescent="0.3">
      <c r="A11" s="5" t="s">
        <v>158</v>
      </c>
      <c r="B11" s="6">
        <v>46162</v>
      </c>
      <c r="C11" s="5" t="s">
        <v>17</v>
      </c>
      <c r="D11" t="s">
        <v>148</v>
      </c>
      <c r="E11" t="s">
        <v>151</v>
      </c>
      <c r="F11" t="s">
        <v>152</v>
      </c>
      <c r="G11" t="s">
        <v>153</v>
      </c>
      <c r="H11" s="16" t="b">
        <f t="shared" si="1"/>
        <v>0</v>
      </c>
      <c r="I11" s="7">
        <v>1200</v>
      </c>
      <c r="J11" s="8">
        <v>1156.146362112238</v>
      </c>
      <c r="K11" s="9">
        <v>4.7771135283300328E-11</v>
      </c>
      <c r="L11" s="9">
        <f>MAX('[1]Throttle_%'!B11:AE11)</f>
        <v>8.3261613308587368</v>
      </c>
      <c r="M11">
        <f>SUM([2]Core_mCPU!B11:I11)</f>
        <v>16651.677607269212</v>
      </c>
      <c r="N11">
        <f>SUM(Core_mCPU!B11:I11)</f>
        <v>16651.677607269212</v>
      </c>
      <c r="O11" s="8">
        <v>112.008331843788</v>
      </c>
    </row>
    <row r="12" spans="1:15" ht="14.4" x14ac:dyDescent="0.3">
      <c r="A12" s="5" t="s">
        <v>159</v>
      </c>
      <c r="B12" s="6">
        <v>46163</v>
      </c>
      <c r="C12" s="5" t="s">
        <v>17</v>
      </c>
      <c r="D12" t="s">
        <v>148</v>
      </c>
      <c r="E12" t="s">
        <v>151</v>
      </c>
      <c r="F12" t="s">
        <v>152</v>
      </c>
      <c r="G12" t="s">
        <v>153</v>
      </c>
      <c r="H12" s="16" t="b">
        <f t="shared" si="1"/>
        <v>0</v>
      </c>
      <c r="I12" s="7">
        <v>1500</v>
      </c>
      <c r="J12" s="8">
        <v>1461.6805370737079</v>
      </c>
      <c r="K12" s="9">
        <v>3.09105903613326E-11</v>
      </c>
      <c r="L12" s="9">
        <f>MAX('[1]Throttle_%'!B12:AE12)</f>
        <v>8.009181851641026</v>
      </c>
      <c r="M12">
        <f>SUM([2]Core_mCPU!B12:I12)</f>
        <v>18770.520542424256</v>
      </c>
      <c r="N12">
        <f>SUM(Core_mCPU!B12:I12)</f>
        <v>18770.520542424256</v>
      </c>
      <c r="O12" s="8">
        <v>117.10674092650849</v>
      </c>
    </row>
    <row r="13" spans="1:15" ht="14.4" x14ac:dyDescent="0.3">
      <c r="A13" s="5" t="s">
        <v>160</v>
      </c>
      <c r="B13" s="6">
        <v>46163</v>
      </c>
      <c r="C13" s="5" t="s">
        <v>17</v>
      </c>
      <c r="D13" t="s">
        <v>148</v>
      </c>
      <c r="E13" t="s">
        <v>151</v>
      </c>
      <c r="F13" t="s">
        <v>152</v>
      </c>
      <c r="G13" t="s">
        <v>153</v>
      </c>
      <c r="H13" s="16" t="b">
        <f t="shared" si="1"/>
        <v>0</v>
      </c>
      <c r="I13" s="7">
        <v>1800</v>
      </c>
      <c r="J13" s="8">
        <v>1718.1606421884501</v>
      </c>
      <c r="K13" s="9">
        <v>1.405032279687679E-11</v>
      </c>
      <c r="L13" s="9">
        <f>MAX('[1]Throttle_%'!B13:AE13)</f>
        <v>8.4065779203827109</v>
      </c>
      <c r="M13">
        <f>SUM([2]Core_mCPU!B13:I13)</f>
        <v>19003.588083666531</v>
      </c>
      <c r="N13">
        <f>SUM(Core_mCPU!B13:I13)</f>
        <v>19003.588083666531</v>
      </c>
      <c r="O13" s="8">
        <v>124.4689154120633</v>
      </c>
    </row>
    <row r="14" spans="1:15" ht="14.4" x14ac:dyDescent="0.3">
      <c r="A14" s="5" t="s">
        <v>161</v>
      </c>
      <c r="B14" s="6">
        <v>46163</v>
      </c>
      <c r="C14" s="5" t="s">
        <v>17</v>
      </c>
      <c r="D14" t="s">
        <v>148</v>
      </c>
      <c r="E14" t="s">
        <v>151</v>
      </c>
      <c r="F14" t="s">
        <v>152</v>
      </c>
      <c r="G14" t="s">
        <v>153</v>
      </c>
      <c r="H14" s="16" t="b">
        <f t="shared" si="1"/>
        <v>0</v>
      </c>
      <c r="I14" s="7">
        <v>2100</v>
      </c>
      <c r="J14" s="8">
        <v>2057.1613556564539</v>
      </c>
      <c r="K14" s="9">
        <v>2.4447447974071831E-10</v>
      </c>
      <c r="L14" s="9">
        <f>MAX('[1]Throttle_%'!B14:AE14)</f>
        <v>8.6623438093098688</v>
      </c>
      <c r="M14">
        <f>SUM([2]Core_mCPU!B14:I14)</f>
        <v>21128.750389463316</v>
      </c>
      <c r="N14">
        <f>SUM(Core_mCPU!B14:I14)</f>
        <v>21128.750389463316</v>
      </c>
      <c r="O14" s="8">
        <v>124.05051994431329</v>
      </c>
    </row>
    <row r="15" spans="1:15" ht="14.4" x14ac:dyDescent="0.3">
      <c r="A15" s="5" t="s">
        <v>162</v>
      </c>
      <c r="B15" s="6">
        <v>46163</v>
      </c>
      <c r="C15" s="5" t="s">
        <v>17</v>
      </c>
      <c r="D15" t="s">
        <v>148</v>
      </c>
      <c r="E15" t="s">
        <v>151</v>
      </c>
      <c r="F15" t="s">
        <v>152</v>
      </c>
      <c r="G15" t="s">
        <v>153</v>
      </c>
      <c r="H15" s="17" t="b">
        <f t="shared" si="1"/>
        <v>0</v>
      </c>
      <c r="I15" s="7">
        <v>2400</v>
      </c>
      <c r="J15" s="8">
        <v>2334.835440579996</v>
      </c>
      <c r="K15" s="9">
        <v>1.792819800768417E-9</v>
      </c>
      <c r="L15" s="9">
        <f>MAX('[1]Throttle_%'!B15:AE15)</f>
        <v>8.5553579752497466</v>
      </c>
      <c r="M15">
        <f>SUM([2]Core_mCPU!B15:I15)</f>
        <v>22851.687237891474</v>
      </c>
      <c r="N15">
        <f>SUM(Core_mCPU!B15:I15)</f>
        <v>22851.687237891474</v>
      </c>
      <c r="O15" s="8">
        <v>127.10028598008969</v>
      </c>
    </row>
    <row r="16" spans="1:15" ht="14.4" x14ac:dyDescent="0.3">
      <c r="A16" s="5" t="s">
        <v>163</v>
      </c>
      <c r="B16" s="6">
        <v>46163</v>
      </c>
      <c r="C16" s="5" t="s">
        <v>17</v>
      </c>
      <c r="D16" t="s">
        <v>148</v>
      </c>
      <c r="E16" t="s">
        <v>151</v>
      </c>
      <c r="F16" t="s">
        <v>152</v>
      </c>
      <c r="G16" t="s">
        <v>153</v>
      </c>
      <c r="H16" s="16" t="b">
        <f t="shared" si="1"/>
        <v>0</v>
      </c>
      <c r="I16" s="7">
        <v>2700</v>
      </c>
      <c r="J16" s="8">
        <v>2613.7124303833789</v>
      </c>
      <c r="K16" s="9">
        <v>1.4134548230530199E-9</v>
      </c>
      <c r="L16" s="9">
        <f>MAX('[1]Throttle_%'!B16:AE16)</f>
        <v>9.1281562927673097</v>
      </c>
      <c r="M16">
        <f>SUM([2]Core_mCPU!B16:I16)</f>
        <v>23249.399849414611</v>
      </c>
      <c r="N16">
        <f>SUM(Core_mCPU!B16:I16)</f>
        <v>23249.399849414611</v>
      </c>
      <c r="O16" s="8">
        <v>140.05420501188991</v>
      </c>
    </row>
    <row r="17" spans="1:15" ht="14.4" x14ac:dyDescent="0.3">
      <c r="A17" s="5" t="s">
        <v>164</v>
      </c>
      <c r="B17" s="6">
        <v>46163</v>
      </c>
      <c r="C17" s="5" t="s">
        <v>17</v>
      </c>
      <c r="D17" t="s">
        <v>148</v>
      </c>
      <c r="E17" t="s">
        <v>151</v>
      </c>
      <c r="F17" t="s">
        <v>152</v>
      </c>
      <c r="G17" t="s">
        <v>153</v>
      </c>
      <c r="H17" s="16" t="b">
        <f t="shared" si="1"/>
        <v>0</v>
      </c>
      <c r="I17" s="7">
        <v>3000</v>
      </c>
      <c r="J17" s="8">
        <v>2843.6577925633269</v>
      </c>
      <c r="K17" s="9">
        <v>2.7538590101714259E-10</v>
      </c>
      <c r="L17" s="9">
        <f>MAX('[1]Throttle_%'!B17:AE17)</f>
        <v>8.2578552178089115</v>
      </c>
      <c r="M17">
        <f>SUM([2]Core_mCPU!B17:I17)</f>
        <v>24856.676860658197</v>
      </c>
      <c r="N17">
        <f>SUM(Core_mCPU!B17:I17)</f>
        <v>24856.676860658197</v>
      </c>
      <c r="O17" s="8">
        <v>137.48595912839551</v>
      </c>
    </row>
    <row r="18" spans="1:15" ht="14.4" x14ac:dyDescent="0.3">
      <c r="A18" s="5" t="s">
        <v>165</v>
      </c>
      <c r="B18" s="6">
        <v>46162</v>
      </c>
      <c r="C18" s="5" t="s">
        <v>18</v>
      </c>
      <c r="D18" t="s">
        <v>148</v>
      </c>
      <c r="E18" t="s">
        <v>151</v>
      </c>
      <c r="F18" t="s">
        <v>152</v>
      </c>
      <c r="G18" t="s">
        <v>153</v>
      </c>
      <c r="H18" s="16" t="b">
        <f t="shared" si="1"/>
        <v>0</v>
      </c>
      <c r="I18" s="7">
        <v>1</v>
      </c>
      <c r="J18" s="8">
        <v>1</v>
      </c>
      <c r="K18" s="9">
        <v>0</v>
      </c>
      <c r="L18" s="9">
        <f>MAX('[1]Throttle_%'!B18:AE18)</f>
        <v>7.1524352033577303</v>
      </c>
      <c r="M18">
        <f>SUM([2]Core_mCPU!B18:I18)</f>
        <v>915.93494778840125</v>
      </c>
      <c r="N18">
        <f>SUM(Core_mCPU!B18:I18)</f>
        <v>915.93494778840125</v>
      </c>
      <c r="O18" s="8">
        <v>40.396666666666668</v>
      </c>
    </row>
    <row r="19" spans="1:15" ht="14.4" x14ac:dyDescent="0.3">
      <c r="A19" s="5" t="s">
        <v>166</v>
      </c>
      <c r="B19" s="6">
        <v>46162</v>
      </c>
      <c r="C19" s="5" t="s">
        <v>18</v>
      </c>
      <c r="D19" t="s">
        <v>148</v>
      </c>
      <c r="E19" t="s">
        <v>151</v>
      </c>
      <c r="F19" t="s">
        <v>152</v>
      </c>
      <c r="G19" t="s">
        <v>153</v>
      </c>
      <c r="H19" s="16" t="b">
        <f t="shared" si="1"/>
        <v>0</v>
      </c>
      <c r="I19" s="7">
        <v>300</v>
      </c>
      <c r="J19" s="8">
        <v>300.00033332999999</v>
      </c>
      <c r="K19" s="9">
        <v>8.4302457770054371E-12</v>
      </c>
      <c r="L19" s="9">
        <f>MAX('[1]Throttle_%'!B19:AE19)</f>
        <v>8.0872770707466568</v>
      </c>
      <c r="M19">
        <f>SUM([2]Core_mCPU!B19:I19)</f>
        <v>8973.6240263956734</v>
      </c>
      <c r="N19">
        <f>SUM(Core_mCPU!B19:I19)</f>
        <v>8973.6240263956734</v>
      </c>
      <c r="O19" s="8">
        <v>46.918638436880208</v>
      </c>
    </row>
    <row r="20" spans="1:15" ht="14.4" x14ac:dyDescent="0.3">
      <c r="A20" s="5" t="s">
        <v>167</v>
      </c>
      <c r="B20" s="6">
        <v>46162</v>
      </c>
      <c r="C20" s="5" t="s">
        <v>18</v>
      </c>
      <c r="D20" t="s">
        <v>148</v>
      </c>
      <c r="E20" t="s">
        <v>151</v>
      </c>
      <c r="F20" t="s">
        <v>152</v>
      </c>
      <c r="G20" t="s">
        <v>153</v>
      </c>
      <c r="H20" s="16" t="b">
        <f t="shared" si="1"/>
        <v>0</v>
      </c>
      <c r="I20" s="7">
        <v>600</v>
      </c>
      <c r="J20" s="8">
        <v>594.19388923424594</v>
      </c>
      <c r="K20" s="9">
        <v>1.967064914552811E-11</v>
      </c>
      <c r="L20" s="9">
        <f>MAX('[1]Throttle_%'!B20:AE20)</f>
        <v>8.4127798349189984</v>
      </c>
      <c r="M20">
        <f>SUM([2]Core_mCPU!B20:I20)</f>
        <v>12722.501665499689</v>
      </c>
      <c r="N20">
        <f>SUM(Core_mCPU!B20:I20)</f>
        <v>12722.501665499689</v>
      </c>
      <c r="O20" s="8">
        <v>88.738392754464655</v>
      </c>
    </row>
    <row r="21" spans="1:15" ht="14.4" x14ac:dyDescent="0.3">
      <c r="A21" s="5" t="s">
        <v>168</v>
      </c>
      <c r="B21" s="6">
        <v>46162</v>
      </c>
      <c r="C21" s="5" t="s">
        <v>18</v>
      </c>
      <c r="D21" t="s">
        <v>148</v>
      </c>
      <c r="E21" t="s">
        <v>151</v>
      </c>
      <c r="F21" t="s">
        <v>152</v>
      </c>
      <c r="G21" t="s">
        <v>153</v>
      </c>
      <c r="H21" s="16" t="b">
        <f t="shared" si="1"/>
        <v>0</v>
      </c>
      <c r="I21" s="7">
        <v>900</v>
      </c>
      <c r="J21" s="8">
        <v>879.2838303678983</v>
      </c>
      <c r="K21" s="9">
        <v>2.529071790955725E-11</v>
      </c>
      <c r="L21" s="9">
        <f>MAX('[1]Throttle_%'!B21:AE21)</f>
        <v>8.3144214151666631</v>
      </c>
      <c r="M21">
        <f>SUM([2]Core_mCPU!B21:I21)</f>
        <v>14749.80143654538</v>
      </c>
      <c r="N21">
        <f>SUM(Core_mCPU!B21:I21)</f>
        <v>14749.80143654538</v>
      </c>
      <c r="O21" s="8">
        <v>103.7442655443777</v>
      </c>
    </row>
    <row r="22" spans="1:15" ht="14.4" x14ac:dyDescent="0.3">
      <c r="A22" s="5" t="s">
        <v>169</v>
      </c>
      <c r="B22" s="6">
        <v>46162</v>
      </c>
      <c r="C22" s="5" t="s">
        <v>18</v>
      </c>
      <c r="D22" t="s">
        <v>148</v>
      </c>
      <c r="E22" t="s">
        <v>151</v>
      </c>
      <c r="F22" t="s">
        <v>152</v>
      </c>
      <c r="G22" t="s">
        <v>153</v>
      </c>
      <c r="H22" s="16" t="b">
        <f t="shared" si="1"/>
        <v>0</v>
      </c>
      <c r="I22" s="7">
        <v>1200</v>
      </c>
      <c r="J22" s="8">
        <v>1177.7398486349671</v>
      </c>
      <c r="K22" s="9">
        <v>2.5290815677451021E-11</v>
      </c>
      <c r="L22" s="9">
        <f>MAX('[1]Throttle_%'!B22:AE22)</f>
        <v>8.3965816973879672</v>
      </c>
      <c r="M22">
        <f>SUM([2]Core_mCPU!B22:I22)</f>
        <v>15811.870394415109</v>
      </c>
      <c r="N22">
        <f>SUM(Core_mCPU!B22:I22)</f>
        <v>15811.870394415109</v>
      </c>
      <c r="O22" s="8">
        <v>107.2622849992577</v>
      </c>
    </row>
    <row r="23" spans="1:15" ht="14.4" x14ac:dyDescent="0.3">
      <c r="A23" s="5" t="s">
        <v>170</v>
      </c>
      <c r="B23" s="6">
        <v>46162</v>
      </c>
      <c r="C23" s="5" t="s">
        <v>18</v>
      </c>
      <c r="D23" t="s">
        <v>148</v>
      </c>
      <c r="E23" t="s">
        <v>151</v>
      </c>
      <c r="F23" t="s">
        <v>152</v>
      </c>
      <c r="G23" t="s">
        <v>153</v>
      </c>
      <c r="H23" s="16" t="b">
        <f t="shared" si="1"/>
        <v>0</v>
      </c>
      <c r="I23" s="7">
        <v>1500</v>
      </c>
      <c r="J23" s="8">
        <v>1478.6875067960759</v>
      </c>
      <c r="K23" s="9">
        <v>7.2174624889615162E-10</v>
      </c>
      <c r="L23" s="9">
        <f>MAX('[1]Throttle_%'!B23:AE23)</f>
        <v>8.1161988352540195</v>
      </c>
      <c r="M23">
        <f>SUM([2]Core_mCPU!B23:I23)</f>
        <v>18218.217202582073</v>
      </c>
      <c r="N23">
        <f>SUM(Core_mCPU!B23:I23)</f>
        <v>18218.217202582073</v>
      </c>
      <c r="O23" s="8">
        <v>110.3880850942664</v>
      </c>
    </row>
    <row r="24" spans="1:15" ht="14.4" x14ac:dyDescent="0.3">
      <c r="A24" s="5" t="s">
        <v>171</v>
      </c>
      <c r="B24" s="6">
        <v>46162</v>
      </c>
      <c r="C24" s="5" t="s">
        <v>18</v>
      </c>
      <c r="D24" t="s">
        <v>148</v>
      </c>
      <c r="E24" t="s">
        <v>151</v>
      </c>
      <c r="F24" t="s">
        <v>152</v>
      </c>
      <c r="G24" t="s">
        <v>153</v>
      </c>
      <c r="H24" s="16" t="b">
        <f t="shared" si="1"/>
        <v>0</v>
      </c>
      <c r="I24" s="7">
        <v>1800</v>
      </c>
      <c r="J24" s="8">
        <v>1787.3973991668529</v>
      </c>
      <c r="K24" s="9">
        <v>4.4961415537038142E-11</v>
      </c>
      <c r="L24" s="9">
        <f>MAX('[1]Throttle_%'!B24:AE24)</f>
        <v>8.2839332227922586</v>
      </c>
      <c r="M24">
        <f>SUM([2]Core_mCPU!B24:I24)</f>
        <v>20613.74809246336</v>
      </c>
      <c r="N24">
        <f>SUM(Core_mCPU!B24:I24)</f>
        <v>20613.74809246336</v>
      </c>
      <c r="O24" s="8">
        <v>108.0582802452687</v>
      </c>
    </row>
    <row r="25" spans="1:15" ht="14.4" x14ac:dyDescent="0.3">
      <c r="A25" s="5" t="s">
        <v>172</v>
      </c>
      <c r="B25" s="6">
        <v>46162</v>
      </c>
      <c r="C25" s="5" t="s">
        <v>18</v>
      </c>
      <c r="D25" t="s">
        <v>148</v>
      </c>
      <c r="E25" t="s">
        <v>151</v>
      </c>
      <c r="F25" t="s">
        <v>152</v>
      </c>
      <c r="G25" t="s">
        <v>153</v>
      </c>
      <c r="H25" s="16" t="b">
        <f t="shared" si="1"/>
        <v>0</v>
      </c>
      <c r="I25" s="7">
        <v>2100</v>
      </c>
      <c r="J25" s="8">
        <v>2048.038920267411</v>
      </c>
      <c r="K25" s="9">
        <v>6.8625000263667282E-10</v>
      </c>
      <c r="L25" s="9">
        <f>MAX('[1]Throttle_%'!B25:AE25)</f>
        <v>12.19068413391558</v>
      </c>
      <c r="M25">
        <f>SUM([2]Core_mCPU!B25:I25)</f>
        <v>21239.948056495628</v>
      </c>
      <c r="N25">
        <f>SUM(Core_mCPU!B25:I25)</f>
        <v>21239.948056495628</v>
      </c>
      <c r="O25" s="8">
        <v>127.66971821646899</v>
      </c>
    </row>
    <row r="26" spans="1:15" ht="14.4" x14ac:dyDescent="0.3">
      <c r="A26" s="5" t="s">
        <v>173</v>
      </c>
      <c r="B26" s="6">
        <v>46162</v>
      </c>
      <c r="C26" s="5" t="s">
        <v>18</v>
      </c>
      <c r="D26" t="s">
        <v>148</v>
      </c>
      <c r="E26" t="s">
        <v>151</v>
      </c>
      <c r="F26" t="s">
        <v>152</v>
      </c>
      <c r="G26" t="s">
        <v>153</v>
      </c>
      <c r="H26" s="16" t="b">
        <f t="shared" si="1"/>
        <v>1</v>
      </c>
      <c r="I26" s="7">
        <v>2400</v>
      </c>
      <c r="J26" s="8">
        <v>2339.2260946082029</v>
      </c>
      <c r="K26" s="9">
        <v>1.2578481505516201E-10</v>
      </c>
      <c r="L26" s="9">
        <f>MAX('[1]Throttle_%'!B26:AE26)</f>
        <v>26.595744680851059</v>
      </c>
      <c r="M26">
        <f>SUM([2]Core_mCPU!B26:I26)</f>
        <v>23391.595087172125</v>
      </c>
      <c r="N26">
        <f>SUM(Core_mCPU!B26:I26)</f>
        <v>23391.595087172125</v>
      </c>
      <c r="O26" s="8">
        <v>138.44716598186861</v>
      </c>
    </row>
    <row r="27" spans="1:15" ht="14.4" x14ac:dyDescent="0.3">
      <c r="A27" s="5" t="s">
        <v>174</v>
      </c>
      <c r="B27" s="6">
        <v>46162</v>
      </c>
      <c r="C27" s="5" t="s">
        <v>18</v>
      </c>
      <c r="D27" t="s">
        <v>148</v>
      </c>
      <c r="E27" t="s">
        <v>151</v>
      </c>
      <c r="F27" t="s">
        <v>152</v>
      </c>
      <c r="G27" t="s">
        <v>153</v>
      </c>
      <c r="H27" s="17" t="b">
        <f t="shared" si="1"/>
        <v>1</v>
      </c>
      <c r="I27" s="7">
        <v>2700</v>
      </c>
      <c r="J27" s="8">
        <v>2546.32590059727</v>
      </c>
      <c r="K27" s="9">
        <v>3.9341025950415512E-10</v>
      </c>
      <c r="L27" s="9">
        <f>MAX('[1]Throttle_%'!B27:AE27)</f>
        <v>33.851535172949873</v>
      </c>
      <c r="M27">
        <f>SUM([2]Core_mCPU!B27:I27)</f>
        <v>24097.83092251897</v>
      </c>
      <c r="N27">
        <f>SUM(Core_mCPU!B27:I27)</f>
        <v>24097.83092251897</v>
      </c>
      <c r="O27" s="8">
        <v>144.85457493799009</v>
      </c>
    </row>
    <row r="28" spans="1:15" ht="14.4" x14ac:dyDescent="0.3">
      <c r="A28" s="5" t="s">
        <v>175</v>
      </c>
      <c r="B28" s="6">
        <v>46162</v>
      </c>
      <c r="C28" s="5" t="s">
        <v>18</v>
      </c>
      <c r="D28" t="s">
        <v>148</v>
      </c>
      <c r="E28" t="s">
        <v>151</v>
      </c>
      <c r="F28" t="s">
        <v>152</v>
      </c>
      <c r="G28" t="s">
        <v>153</v>
      </c>
      <c r="H28" s="16" t="b">
        <f t="shared" si="1"/>
        <v>1</v>
      </c>
      <c r="I28" s="7">
        <v>3000</v>
      </c>
      <c r="J28" s="8">
        <v>2902.4324525846291</v>
      </c>
      <c r="K28" s="9">
        <v>2.7819832532419412E-10</v>
      </c>
      <c r="L28" s="9">
        <f>MAX('[1]Throttle_%'!B28:AE28)</f>
        <v>47.230538922155702</v>
      </c>
      <c r="M28">
        <f>SUM([2]Core_mCPU!B28:I28)</f>
        <v>24804.61516581734</v>
      </c>
      <c r="N28">
        <f>SUM(Core_mCPU!B28:I28)</f>
        <v>24804.61516581734</v>
      </c>
      <c r="O28" s="8">
        <v>153.5880168488612</v>
      </c>
    </row>
    <row r="29" spans="1:15" ht="14.4" x14ac:dyDescent="0.3">
      <c r="A29" s="5" t="s">
        <v>176</v>
      </c>
      <c r="B29" s="6">
        <v>46163</v>
      </c>
      <c r="C29" s="5" t="s">
        <v>19</v>
      </c>
      <c r="D29" t="s">
        <v>148</v>
      </c>
      <c r="E29" t="s">
        <v>151</v>
      </c>
      <c r="F29" t="s">
        <v>152</v>
      </c>
      <c r="G29" t="s">
        <v>153</v>
      </c>
      <c r="H29" s="16" t="b">
        <f t="shared" si="1"/>
        <v>0</v>
      </c>
      <c r="I29" s="7">
        <v>1</v>
      </c>
      <c r="J29" s="8">
        <v>0.9999983333361111</v>
      </c>
      <c r="K29" s="9">
        <v>0</v>
      </c>
      <c r="L29" s="9">
        <f>MAX('[1]Throttle_%'!B29:AE29)</f>
        <v>7.8599191538234514</v>
      </c>
      <c r="M29">
        <f>SUM([2]Core_mCPU!B29:I29)</f>
        <v>966.82155597413066</v>
      </c>
      <c r="N29">
        <f>SUM(Core_mCPU!B29:I29)</f>
        <v>966.82155597413066</v>
      </c>
      <c r="O29" s="8">
        <v>40.33</v>
      </c>
    </row>
    <row r="30" spans="1:15" ht="14.4" x14ac:dyDescent="0.3">
      <c r="A30" s="5" t="s">
        <v>177</v>
      </c>
      <c r="B30" s="6">
        <v>46163</v>
      </c>
      <c r="C30" s="5" t="s">
        <v>19</v>
      </c>
      <c r="D30" t="s">
        <v>148</v>
      </c>
      <c r="E30" t="s">
        <v>151</v>
      </c>
      <c r="F30" t="s">
        <v>152</v>
      </c>
      <c r="G30" t="s">
        <v>153</v>
      </c>
      <c r="H30" s="16" t="b">
        <f t="shared" si="1"/>
        <v>0</v>
      </c>
      <c r="I30" s="7">
        <v>300</v>
      </c>
      <c r="J30" s="8">
        <v>300</v>
      </c>
      <c r="K30" s="9">
        <v>2.8100342036249E-12</v>
      </c>
      <c r="L30" s="9">
        <f>MAX('[1]Throttle_%'!B30:AE30)</f>
        <v>8.1722101067180741</v>
      </c>
      <c r="M30">
        <f>SUM([2]Core_mCPU!B30:I30)</f>
        <v>9113.1145647683516</v>
      </c>
      <c r="N30">
        <f>SUM(Core_mCPU!B30:I30)</f>
        <v>9113.1145647683516</v>
      </c>
      <c r="O30" s="8">
        <v>51.805923958640079</v>
      </c>
    </row>
    <row r="31" spans="1:15" ht="14.4" x14ac:dyDescent="0.3">
      <c r="A31" s="5" t="s">
        <v>178</v>
      </c>
      <c r="B31" s="6">
        <v>46163</v>
      </c>
      <c r="C31" s="5" t="s">
        <v>19</v>
      </c>
      <c r="D31" t="s">
        <v>148</v>
      </c>
      <c r="E31" t="s">
        <v>151</v>
      </c>
      <c r="F31" t="s">
        <v>152</v>
      </c>
      <c r="G31" t="s">
        <v>153</v>
      </c>
      <c r="H31" s="16" t="b">
        <f t="shared" si="1"/>
        <v>0</v>
      </c>
      <c r="I31" s="7">
        <v>600</v>
      </c>
      <c r="J31" s="8">
        <v>599.65866837332476</v>
      </c>
      <c r="K31" s="9">
        <v>1.9670314841541381E-11</v>
      </c>
      <c r="L31" s="9">
        <f>MAX('[1]Throttle_%'!B31:AE31)</f>
        <v>8.2467720231210944</v>
      </c>
      <c r="M31">
        <f>SUM([2]Core_mCPU!B31:I31)</f>
        <v>14575.757786485554</v>
      </c>
      <c r="N31">
        <f>SUM(Core_mCPU!B31:I31)</f>
        <v>14575.757786485554</v>
      </c>
      <c r="O31" s="8">
        <v>57.551246560493617</v>
      </c>
    </row>
    <row r="32" spans="1:15" ht="14.4" x14ac:dyDescent="0.3">
      <c r="A32" s="5" t="s">
        <v>179</v>
      </c>
      <c r="B32" s="6">
        <v>46163</v>
      </c>
      <c r="C32" s="5" t="s">
        <v>19</v>
      </c>
      <c r="D32" t="s">
        <v>148</v>
      </c>
      <c r="E32" t="s">
        <v>151</v>
      </c>
      <c r="F32" t="s">
        <v>152</v>
      </c>
      <c r="G32" t="s">
        <v>153</v>
      </c>
      <c r="H32" s="16" t="b">
        <f t="shared" si="1"/>
        <v>0</v>
      </c>
      <c r="I32" s="7">
        <v>900</v>
      </c>
      <c r="J32" s="8">
        <v>888.10076963844654</v>
      </c>
      <c r="K32" s="9">
        <v>1.4050160471578811E-11</v>
      </c>
      <c r="L32" s="9">
        <f>MAX('[1]Throttle_%'!B32:AE32)</f>
        <v>7.8642906286681553</v>
      </c>
      <c r="M32">
        <f>SUM([2]Core_mCPU!B32:I32)</f>
        <v>15806.059333347368</v>
      </c>
      <c r="N32">
        <f>SUM(Core_mCPU!B32:I32)</f>
        <v>15806.059333347368</v>
      </c>
      <c r="O32" s="8">
        <v>88.373903823598411</v>
      </c>
    </row>
    <row r="33" spans="1:15" ht="14.4" x14ac:dyDescent="0.3">
      <c r="A33" s="5" t="s">
        <v>180</v>
      </c>
      <c r="B33" s="6">
        <v>46163</v>
      </c>
      <c r="C33" s="5" t="s">
        <v>19</v>
      </c>
      <c r="D33" t="s">
        <v>148</v>
      </c>
      <c r="E33" t="s">
        <v>151</v>
      </c>
      <c r="F33" t="s">
        <v>152</v>
      </c>
      <c r="G33" t="s">
        <v>153</v>
      </c>
      <c r="H33" s="16" t="b">
        <f t="shared" si="1"/>
        <v>0</v>
      </c>
      <c r="I33" s="7">
        <v>1200</v>
      </c>
      <c r="J33" s="8">
        <v>1197.6329880398339</v>
      </c>
      <c r="K33" s="9">
        <v>8.4301286047649127E-12</v>
      </c>
      <c r="L33" s="9">
        <f>MAX('[1]Throttle_%'!B33:AE33)</f>
        <v>8.5089899106665658</v>
      </c>
      <c r="M33">
        <f>SUM([2]Core_mCPU!B33:I33)</f>
        <v>17690.894849861765</v>
      </c>
      <c r="N33">
        <f>SUM(Core_mCPU!B33:I33)</f>
        <v>17690.894849861765</v>
      </c>
      <c r="O33" s="8">
        <v>95.141863263720012</v>
      </c>
    </row>
    <row r="34" spans="1:15" ht="14.4" x14ac:dyDescent="0.3">
      <c r="A34" s="5" t="s">
        <v>181</v>
      </c>
      <c r="B34" s="6">
        <v>46163</v>
      </c>
      <c r="C34" s="5" t="s">
        <v>19</v>
      </c>
      <c r="D34" t="s">
        <v>148</v>
      </c>
      <c r="E34" t="s">
        <v>151</v>
      </c>
      <c r="F34" t="s">
        <v>152</v>
      </c>
      <c r="G34" t="s">
        <v>153</v>
      </c>
      <c r="H34" s="16" t="b">
        <f t="shared" si="1"/>
        <v>0</v>
      </c>
      <c r="I34" s="7">
        <v>1500</v>
      </c>
      <c r="J34" s="8">
        <v>1461.656850972993</v>
      </c>
      <c r="K34" s="9">
        <v>1.60572063873679E-10</v>
      </c>
      <c r="L34" s="9">
        <f>MAX('[1]Throttle_%'!B34:AE34)</f>
        <v>8.307713239236266</v>
      </c>
      <c r="M34">
        <f>SUM([2]Core_mCPU!B34:I34)</f>
        <v>19180.393085154261</v>
      </c>
      <c r="N34">
        <f>SUM(Core_mCPU!B34:I34)</f>
        <v>19180.393085154261</v>
      </c>
      <c r="O34" s="8">
        <v>108.7063393482974</v>
      </c>
    </row>
    <row r="35" spans="1:15" ht="14.4" x14ac:dyDescent="0.3">
      <c r="A35" s="5" t="s">
        <v>182</v>
      </c>
      <c r="B35" s="6">
        <v>46163</v>
      </c>
      <c r="C35" s="5" t="s">
        <v>19</v>
      </c>
      <c r="D35" t="s">
        <v>148</v>
      </c>
      <c r="E35" t="s">
        <v>151</v>
      </c>
      <c r="F35" t="s">
        <v>152</v>
      </c>
      <c r="G35" t="s">
        <v>153</v>
      </c>
      <c r="H35" s="16" t="b">
        <f t="shared" si="1"/>
        <v>0</v>
      </c>
      <c r="I35" s="7">
        <v>1800</v>
      </c>
      <c r="J35" s="8">
        <v>1752.2943344719481</v>
      </c>
      <c r="K35" s="9">
        <v>2.6621438170744839E-11</v>
      </c>
      <c r="L35" s="9">
        <f>MAX('[1]Throttle_%'!B35:AE35)</f>
        <v>8.152262451831513</v>
      </c>
      <c r="M35">
        <f>SUM([2]Core_mCPU!B35:I35)</f>
        <v>20613.486707692387</v>
      </c>
      <c r="N35">
        <f>SUM(Core_mCPU!B35:I35)</f>
        <v>20613.486707692387</v>
      </c>
      <c r="O35" s="8">
        <v>123.0640849914346</v>
      </c>
    </row>
    <row r="36" spans="1:15" ht="14.4" x14ac:dyDescent="0.3">
      <c r="A36" s="5" t="s">
        <v>183</v>
      </c>
      <c r="B36" s="6">
        <v>46163</v>
      </c>
      <c r="C36" s="5" t="s">
        <v>19</v>
      </c>
      <c r="D36" t="s">
        <v>148</v>
      </c>
      <c r="E36" t="s">
        <v>151</v>
      </c>
      <c r="F36" t="s">
        <v>152</v>
      </c>
      <c r="G36" t="s">
        <v>153</v>
      </c>
      <c r="H36" s="16" t="b">
        <f t="shared" si="1"/>
        <v>0</v>
      </c>
      <c r="I36" s="7">
        <v>2100</v>
      </c>
      <c r="J36" s="8">
        <v>2031.415899704911</v>
      </c>
      <c r="K36" s="9">
        <v>1.174287952514674E-9</v>
      </c>
      <c r="L36" s="9">
        <f>MAX('[1]Throttle_%'!B36:AE36)</f>
        <v>8.5999740310328292</v>
      </c>
      <c r="M36">
        <f>SUM([2]Core_mCPU!B36:I36)</f>
        <v>21003.566040056612</v>
      </c>
      <c r="N36">
        <f>SUM(Core_mCPU!B36:I36)</f>
        <v>21003.566040056612</v>
      </c>
      <c r="O36" s="8">
        <v>129.7943051699084</v>
      </c>
    </row>
    <row r="37" spans="1:15" ht="14.4" x14ac:dyDescent="0.3">
      <c r="A37" s="5" t="s">
        <v>184</v>
      </c>
      <c r="B37" s="6">
        <v>46163</v>
      </c>
      <c r="C37" s="5" t="s">
        <v>19</v>
      </c>
      <c r="D37" t="s">
        <v>148</v>
      </c>
      <c r="E37" t="s">
        <v>151</v>
      </c>
      <c r="F37" t="s">
        <v>152</v>
      </c>
      <c r="G37" t="s">
        <v>153</v>
      </c>
      <c r="H37" s="16" t="b">
        <f t="shared" si="1"/>
        <v>0</v>
      </c>
      <c r="I37" s="7">
        <v>2400</v>
      </c>
      <c r="J37" s="8">
        <v>2311.0338502526479</v>
      </c>
      <c r="K37" s="9">
        <v>2.4255069546553792E-10</v>
      </c>
      <c r="L37" s="9">
        <f>MAX('[1]Throttle_%'!B37:AE37)</f>
        <v>8.5402178053194095</v>
      </c>
      <c r="M37">
        <f>SUM([2]Core_mCPU!B37:I37)</f>
        <v>23197.009484159629</v>
      </c>
      <c r="N37">
        <f>SUM(Core_mCPU!B37:I37)</f>
        <v>23197.009484159629</v>
      </c>
      <c r="O37" s="8">
        <v>125.7042130567183</v>
      </c>
    </row>
    <row r="38" spans="1:15" ht="14.4" x14ac:dyDescent="0.3">
      <c r="A38" s="5" t="s">
        <v>185</v>
      </c>
      <c r="B38" s="6">
        <v>46163</v>
      </c>
      <c r="C38" s="5" t="s">
        <v>19</v>
      </c>
      <c r="D38" t="s">
        <v>148</v>
      </c>
      <c r="E38" t="s">
        <v>151</v>
      </c>
      <c r="F38" t="s">
        <v>152</v>
      </c>
      <c r="G38" t="s">
        <v>153</v>
      </c>
      <c r="H38" s="16" t="b">
        <f t="shared" si="1"/>
        <v>0</v>
      </c>
      <c r="I38" s="7">
        <v>2700</v>
      </c>
      <c r="J38" s="8">
        <v>2620.160564106317</v>
      </c>
      <c r="K38" s="9">
        <v>4.629820646291608E-10</v>
      </c>
      <c r="L38" s="9">
        <f>MAX('[1]Throttle_%'!B38:AE38)</f>
        <v>8.4657636949612662</v>
      </c>
      <c r="M38">
        <f>SUM([2]Core_mCPU!B38:I38)</f>
        <v>23700.498866685342</v>
      </c>
      <c r="N38">
        <f>SUM(Core_mCPU!B38:I38)</f>
        <v>23700.498866685342</v>
      </c>
      <c r="O38" s="8">
        <v>129.22130192319489</v>
      </c>
    </row>
    <row r="39" spans="1:15" ht="14.4" x14ac:dyDescent="0.3">
      <c r="A39" s="5" t="s">
        <v>186</v>
      </c>
      <c r="B39" s="6">
        <v>46163</v>
      </c>
      <c r="C39" s="5" t="s">
        <v>19</v>
      </c>
      <c r="D39" t="s">
        <v>148</v>
      </c>
      <c r="E39" t="s">
        <v>151</v>
      </c>
      <c r="F39" t="s">
        <v>152</v>
      </c>
      <c r="G39" t="s">
        <v>153</v>
      </c>
      <c r="H39" s="16" t="b">
        <f t="shared" si="1"/>
        <v>0</v>
      </c>
      <c r="I39" s="7">
        <v>3000</v>
      </c>
      <c r="J39" s="8">
        <v>2842.754494608469</v>
      </c>
      <c r="K39" s="9">
        <v>4.5803592610632243E-10</v>
      </c>
      <c r="L39" s="9">
        <f>MAX('[1]Throttle_%'!B39:AE39)</f>
        <v>8.7510351313930688</v>
      </c>
      <c r="M39">
        <f>SUM([2]Core_mCPU!B39:I39)</f>
        <v>23266.159851865883</v>
      </c>
      <c r="N39">
        <f>SUM(Core_mCPU!B39:I39)</f>
        <v>23266.159851865883</v>
      </c>
      <c r="O39" s="8">
        <v>142.1098139151417</v>
      </c>
    </row>
    <row r="40" spans="1:15" ht="14.4" x14ac:dyDescent="0.3">
      <c r="A40" s="24" t="s">
        <v>187</v>
      </c>
      <c r="B40" s="6">
        <v>46163</v>
      </c>
      <c r="C40" s="5" t="s">
        <v>20</v>
      </c>
      <c r="D40" t="s">
        <v>148</v>
      </c>
      <c r="E40" t="s">
        <v>151</v>
      </c>
      <c r="F40" t="s">
        <v>152</v>
      </c>
      <c r="G40" t="s">
        <v>153</v>
      </c>
      <c r="H40" s="16" t="b">
        <f t="shared" si="1"/>
        <v>0</v>
      </c>
      <c r="I40" s="7">
        <v>1</v>
      </c>
      <c r="J40" s="8">
        <v>1</v>
      </c>
      <c r="K40" s="9">
        <v>0</v>
      </c>
      <c r="L40" s="9">
        <f>MAX('[1]Throttle_%'!B40:AE40)</f>
        <v>7.4069799959172302</v>
      </c>
      <c r="M40">
        <f>SUM([2]Core_mCPU!B40:I40)</f>
        <v>883.7035601520472</v>
      </c>
      <c r="N40">
        <f>SUM(Core_mCPU!B40:I40)</f>
        <v>883.7035601520472</v>
      </c>
      <c r="O40" s="8">
        <v>39.766666666666673</v>
      </c>
    </row>
    <row r="41" spans="1:15" ht="14.4" x14ac:dyDescent="0.3">
      <c r="A41" s="5" t="s">
        <v>188</v>
      </c>
      <c r="B41" s="6">
        <v>46163</v>
      </c>
      <c r="C41" s="5" t="s">
        <v>20</v>
      </c>
      <c r="D41" t="s">
        <v>148</v>
      </c>
      <c r="E41" t="s">
        <v>151</v>
      </c>
      <c r="F41" t="s">
        <v>152</v>
      </c>
      <c r="G41" t="s">
        <v>153</v>
      </c>
      <c r="H41" s="16" t="b">
        <f t="shared" si="1"/>
        <v>0</v>
      </c>
      <c r="I41" s="7">
        <v>300</v>
      </c>
      <c r="J41" s="8">
        <v>299.99966666888889</v>
      </c>
      <c r="K41" s="9">
        <v>3.6529889524856073E-11</v>
      </c>
      <c r="L41" s="9">
        <f>MAX('[1]Throttle_%'!B41:AE41)</f>
        <v>7.8626261125127392</v>
      </c>
      <c r="M41">
        <f>SUM([2]Core_mCPU!B41:I41)</f>
        <v>8834.0196471085965</v>
      </c>
      <c r="N41">
        <f>SUM(Core_mCPU!B41:I41)</f>
        <v>8834.0196471085965</v>
      </c>
      <c r="O41" s="8">
        <v>47.279918661244082</v>
      </c>
    </row>
    <row r="42" spans="1:15" ht="14.4" x14ac:dyDescent="0.3">
      <c r="A42" s="5" t="s">
        <v>189</v>
      </c>
      <c r="B42" s="6">
        <v>46163</v>
      </c>
      <c r="C42" s="5" t="s">
        <v>20</v>
      </c>
      <c r="D42" t="s">
        <v>148</v>
      </c>
      <c r="E42" t="s">
        <v>151</v>
      </c>
      <c r="F42" t="s">
        <v>152</v>
      </c>
      <c r="G42" t="s">
        <v>153</v>
      </c>
      <c r="H42" s="16" t="b">
        <f t="shared" si="1"/>
        <v>0</v>
      </c>
      <c r="I42" s="7">
        <v>600</v>
      </c>
      <c r="J42" s="8">
        <v>597.07987894817143</v>
      </c>
      <c r="K42" s="9">
        <v>2.3818115721817102E-10</v>
      </c>
      <c r="L42" s="9">
        <f>MAX('[1]Throttle_%'!B42:AE42)</f>
        <v>8.3560862423747455</v>
      </c>
      <c r="M42">
        <f>SUM([2]Core_mCPU!B42:I42)</f>
        <v>12830.619818469819</v>
      </c>
      <c r="N42">
        <f>SUM(Core_mCPU!B42:I42)</f>
        <v>12830.619818469819</v>
      </c>
      <c r="O42" s="8">
        <v>76.917952950887326</v>
      </c>
    </row>
    <row r="43" spans="1:15" ht="14.4" x14ac:dyDescent="0.3">
      <c r="A43" s="5" t="s">
        <v>190</v>
      </c>
      <c r="B43" s="6">
        <v>46163</v>
      </c>
      <c r="C43" s="5" t="s">
        <v>20</v>
      </c>
      <c r="D43" t="s">
        <v>148</v>
      </c>
      <c r="E43" t="s">
        <v>151</v>
      </c>
      <c r="F43" t="s">
        <v>152</v>
      </c>
      <c r="G43" t="s">
        <v>153</v>
      </c>
      <c r="H43" s="16" t="b">
        <f t="shared" si="1"/>
        <v>0</v>
      </c>
      <c r="I43" s="7">
        <v>900</v>
      </c>
      <c r="J43" s="8">
        <v>884.80687525106305</v>
      </c>
      <c r="K43" s="9">
        <v>2.8099893734172959E-11</v>
      </c>
      <c r="L43" s="9">
        <f>MAX('[1]Throttle_%'!B43:AE43)</f>
        <v>8.0955021299401704</v>
      </c>
      <c r="M43">
        <f>SUM([2]Core_mCPU!B43:I43)</f>
        <v>14333.426845636253</v>
      </c>
      <c r="N43">
        <f>SUM(Core_mCPU!B43:I43)</f>
        <v>14333.426845636253</v>
      </c>
      <c r="O43" s="8">
        <v>98.035491655504885</v>
      </c>
    </row>
    <row r="44" spans="1:15" ht="14.4" x14ac:dyDescent="0.3">
      <c r="A44" s="5" t="s">
        <v>191</v>
      </c>
      <c r="B44" s="6">
        <v>46163</v>
      </c>
      <c r="C44" s="5" t="s">
        <v>20</v>
      </c>
      <c r="D44" t="s">
        <v>148</v>
      </c>
      <c r="E44" t="s">
        <v>151</v>
      </c>
      <c r="F44" t="s">
        <v>152</v>
      </c>
      <c r="G44" t="s">
        <v>153</v>
      </c>
      <c r="H44" s="17" t="b">
        <f t="shared" si="1"/>
        <v>0</v>
      </c>
      <c r="I44" s="7">
        <v>1200</v>
      </c>
      <c r="J44" s="8">
        <v>1181.0690000632389</v>
      </c>
      <c r="K44" s="9">
        <v>8.4300008812665933E-11</v>
      </c>
      <c r="L44" s="9">
        <f>MAX('[1]Throttle_%'!B44:AE44)</f>
        <v>8.3707761581812381</v>
      </c>
      <c r="M44">
        <f>SUM([2]Core_mCPU!B44:I44)</f>
        <v>15859.188827918822</v>
      </c>
      <c r="N44">
        <f>SUM(Core_mCPU!B44:I44)</f>
        <v>15859.188827918822</v>
      </c>
      <c r="O44" s="8">
        <v>103.1799394649923</v>
      </c>
    </row>
    <row r="45" spans="1:15" ht="14.4" x14ac:dyDescent="0.3">
      <c r="A45" s="5" t="s">
        <v>192</v>
      </c>
      <c r="B45" s="6">
        <v>46163</v>
      </c>
      <c r="C45" s="5" t="s">
        <v>20</v>
      </c>
      <c r="D45" t="s">
        <v>148</v>
      </c>
      <c r="E45" t="s">
        <v>151</v>
      </c>
      <c r="F45" t="s">
        <v>152</v>
      </c>
      <c r="G45" t="s">
        <v>153</v>
      </c>
      <c r="H45" s="16" t="b">
        <f t="shared" si="1"/>
        <v>0</v>
      </c>
      <c r="I45" s="7">
        <v>1500</v>
      </c>
      <c r="J45" s="8">
        <v>1444.444999791745</v>
      </c>
      <c r="K45" s="9">
        <v>1.5735928305242409E-10</v>
      </c>
      <c r="L45" s="9">
        <f>MAX('[1]Throttle_%'!B45:AE45)</f>
        <v>8.1864776880982166</v>
      </c>
      <c r="M45">
        <f>SUM([2]Core_mCPU!B45:I45)</f>
        <v>16939.81679185907</v>
      </c>
      <c r="N45">
        <f>SUM(Core_mCPU!B45:I45)</f>
        <v>16939.81679185907</v>
      </c>
      <c r="O45" s="8">
        <v>115.4029755368332</v>
      </c>
    </row>
    <row r="46" spans="1:15" ht="15" customHeight="1" x14ac:dyDescent="0.3">
      <c r="A46" s="5" t="s">
        <v>193</v>
      </c>
      <c r="B46" s="6">
        <v>46163</v>
      </c>
      <c r="C46" s="5" t="s">
        <v>20</v>
      </c>
      <c r="D46" t="s">
        <v>148</v>
      </c>
      <c r="E46" t="s">
        <v>151</v>
      </c>
      <c r="F46" t="s">
        <v>152</v>
      </c>
      <c r="G46" t="s">
        <v>153</v>
      </c>
      <c r="H46" s="16" t="b">
        <f t="shared" si="1"/>
        <v>0</v>
      </c>
      <c r="I46" s="7">
        <v>1800</v>
      </c>
      <c r="J46" s="8">
        <v>1787.5157408411239</v>
      </c>
      <c r="K46" s="9">
        <v>6.1257957769036703E-10</v>
      </c>
      <c r="L46" s="9">
        <f>MAX('[1]Throttle_%'!B46:AE46)</f>
        <v>8.6717936482778484</v>
      </c>
      <c r="M46">
        <f>SUM([2]Core_mCPU!B46:I46)</f>
        <v>19086.167120821392</v>
      </c>
      <c r="N46">
        <f>SUM(Core_mCPU!B46:I46)</f>
        <v>19086.167120821392</v>
      </c>
      <c r="O46" s="8">
        <v>110.6719530450884</v>
      </c>
    </row>
    <row r="47" spans="1:15" ht="15" customHeight="1" x14ac:dyDescent="0.3">
      <c r="A47" t="s">
        <v>194</v>
      </c>
      <c r="B47" s="6">
        <v>46163</v>
      </c>
      <c r="C47" s="5" t="s">
        <v>20</v>
      </c>
      <c r="D47" t="s">
        <v>148</v>
      </c>
      <c r="E47" t="s">
        <v>151</v>
      </c>
      <c r="F47" t="s">
        <v>152</v>
      </c>
      <c r="G47" t="s">
        <v>153</v>
      </c>
      <c r="H47" s="16" t="b">
        <f t="shared" si="1"/>
        <v>0</v>
      </c>
      <c r="I47" s="7">
        <v>2100</v>
      </c>
      <c r="J47" s="8">
        <v>2042.907026322755</v>
      </c>
      <c r="K47" s="9">
        <v>1.5521821914583969E-10</v>
      </c>
      <c r="L47" s="9">
        <f>MAX('[1]Throttle_%'!B47:AE47)</f>
        <v>8.1265770403979225</v>
      </c>
      <c r="M47">
        <f>SUM([2]Core_mCPU!B47:I47)</f>
        <v>20221.815042311675</v>
      </c>
      <c r="N47">
        <f>SUM(Core_mCPU!B47:I47)</f>
        <v>20221.815042311675</v>
      </c>
      <c r="O47" s="8">
        <v>123.7847541530559</v>
      </c>
    </row>
    <row r="48" spans="1:15" ht="15" customHeight="1" x14ac:dyDescent="0.3">
      <c r="A48" t="s">
        <v>195</v>
      </c>
      <c r="B48" s="6">
        <v>46163</v>
      </c>
      <c r="C48" s="5" t="s">
        <v>20</v>
      </c>
      <c r="D48" t="s">
        <v>148</v>
      </c>
      <c r="E48" t="s">
        <v>151</v>
      </c>
      <c r="F48" t="s">
        <v>152</v>
      </c>
      <c r="G48" t="s">
        <v>153</v>
      </c>
      <c r="H48" s="16" t="b">
        <f t="shared" si="1"/>
        <v>0</v>
      </c>
      <c r="I48" s="7">
        <v>2400</v>
      </c>
      <c r="J48" s="8">
        <v>2303.9241764549411</v>
      </c>
      <c r="K48" s="9">
        <v>6.0902964157057697E-9</v>
      </c>
      <c r="L48" s="9">
        <f>MAX('[1]Throttle_%'!B48:AE48)</f>
        <v>8.3392934277625823</v>
      </c>
      <c r="M48">
        <f>SUM([2]Core_mCPU!B48:I48)</f>
        <v>21019.416705086373</v>
      </c>
      <c r="N48">
        <f>SUM(Core_mCPU!B48:I48)</f>
        <v>21019.416705086373</v>
      </c>
      <c r="O48" s="8">
        <v>133.8744519683494</v>
      </c>
    </row>
    <row r="49" spans="1:15" ht="15" customHeight="1" x14ac:dyDescent="0.3">
      <c r="A49" t="s">
        <v>196</v>
      </c>
      <c r="B49" s="6">
        <v>46163</v>
      </c>
      <c r="C49" s="5" t="s">
        <v>20</v>
      </c>
      <c r="D49" t="s">
        <v>148</v>
      </c>
      <c r="E49" t="s">
        <v>151</v>
      </c>
      <c r="F49" t="s">
        <v>152</v>
      </c>
      <c r="G49" t="s">
        <v>153</v>
      </c>
      <c r="H49" s="16" t="b">
        <f t="shared" si="1"/>
        <v>0</v>
      </c>
      <c r="I49" s="7">
        <v>2700</v>
      </c>
      <c r="J49" s="8">
        <v>2425.56524773203</v>
      </c>
      <c r="K49" s="9">
        <v>4.6527400136587109E-9</v>
      </c>
      <c r="L49" s="9">
        <f>MAX('[1]Throttle_%'!B49:AE49)</f>
        <v>8.0749313628838717</v>
      </c>
      <c r="M49">
        <f>SUM([2]Core_mCPU!B49:I49)</f>
        <v>21871.477996815054</v>
      </c>
      <c r="N49">
        <f>SUM(Core_mCPU!B49:I49)</f>
        <v>21871.477996815054</v>
      </c>
      <c r="O49" s="8">
        <v>164.84637601430339</v>
      </c>
    </row>
    <row r="50" spans="1:15" ht="15" customHeight="1" x14ac:dyDescent="0.3">
      <c r="A50" t="s">
        <v>197</v>
      </c>
      <c r="B50" s="6">
        <v>46163</v>
      </c>
      <c r="C50" s="5" t="s">
        <v>20</v>
      </c>
      <c r="D50" t="s">
        <v>148</v>
      </c>
      <c r="E50" t="s">
        <v>151</v>
      </c>
      <c r="F50" t="s">
        <v>152</v>
      </c>
      <c r="G50" t="s">
        <v>153</v>
      </c>
      <c r="H50" s="16" t="b">
        <f t="shared" si="1"/>
        <v>0</v>
      </c>
      <c r="I50" s="7">
        <v>3000</v>
      </c>
      <c r="J50" s="8">
        <v>2840.7357142620131</v>
      </c>
      <c r="K50" s="9">
        <v>4.1025908102368347E-9</v>
      </c>
      <c r="L50" s="9">
        <f>MAX('[1]Throttle_%'!B50:AE50)</f>
        <v>8.8127182381849831</v>
      </c>
      <c r="M50">
        <f>SUM([2]Core_mCPU!B50:I50)</f>
        <v>23398.766938880064</v>
      </c>
      <c r="N50">
        <f>SUM(Core_mCPU!B50:I50)</f>
        <v>23398.766938880064</v>
      </c>
      <c r="O50" s="8">
        <v>138.6658251244485</v>
      </c>
    </row>
    <row r="51" spans="1:15" ht="15" customHeight="1" x14ac:dyDescent="0.3">
      <c r="A51" t="s">
        <v>206</v>
      </c>
      <c r="B51" s="6">
        <v>46180</v>
      </c>
      <c r="C51" t="s">
        <v>21</v>
      </c>
      <c r="D51" t="s">
        <v>64</v>
      </c>
      <c r="E51" t="s">
        <v>198</v>
      </c>
      <c r="F51" t="s">
        <v>199</v>
      </c>
      <c r="G51" t="s">
        <v>200</v>
      </c>
      <c r="H51" s="16" t="b">
        <f t="shared" si="1"/>
        <v>0</v>
      </c>
      <c r="I51">
        <v>1</v>
      </c>
      <c r="J51">
        <v>0.9999983333361111</v>
      </c>
      <c r="K51">
        <v>0</v>
      </c>
      <c r="L51" s="9">
        <f>MAX('[1]Throttle_%'!B51:AE51)</f>
        <v>11.176048518200709</v>
      </c>
      <c r="M51">
        <f>SUM([2]Core_mCPU!B51:I51)</f>
        <v>991.29542190435586</v>
      </c>
      <c r="N51">
        <f>SUM(Core_mCPU!B51:I51)</f>
        <v>991.29542190435586</v>
      </c>
      <c r="O51">
        <v>26.434999999999999</v>
      </c>
    </row>
    <row r="52" spans="1:15" ht="15" customHeight="1" x14ac:dyDescent="0.3">
      <c r="A52" t="s">
        <v>207</v>
      </c>
      <c r="B52" s="6">
        <v>46180</v>
      </c>
      <c r="C52" t="s">
        <v>21</v>
      </c>
      <c r="D52" t="s">
        <v>64</v>
      </c>
      <c r="E52" t="s">
        <v>198</v>
      </c>
      <c r="F52" t="s">
        <v>199</v>
      </c>
      <c r="G52" t="s">
        <v>200</v>
      </c>
      <c r="H52" s="16" t="b">
        <f t="shared" si="1"/>
        <v>0</v>
      </c>
      <c r="I52">
        <v>300</v>
      </c>
      <c r="J52">
        <v>300.00016666583332</v>
      </c>
      <c r="K52">
        <v>0</v>
      </c>
      <c r="L52" s="9">
        <f>MAX('[1]Throttle_%'!B52:AE52)</f>
        <v>9.594734015833474</v>
      </c>
      <c r="M52">
        <f>SUM([2]Core_mCPU!B52:I52)</f>
        <v>4562.6729204889198</v>
      </c>
      <c r="N52">
        <f>SUM(Core_mCPU!B52:I52)</f>
        <v>4562.6729204889198</v>
      </c>
      <c r="O52">
        <v>22.009438836450908</v>
      </c>
    </row>
    <row r="53" spans="1:15" ht="15" customHeight="1" x14ac:dyDescent="0.3">
      <c r="A53" t="s">
        <v>208</v>
      </c>
      <c r="B53" s="6">
        <v>46180</v>
      </c>
      <c r="C53" t="s">
        <v>21</v>
      </c>
      <c r="D53" t="s">
        <v>64</v>
      </c>
      <c r="E53" t="s">
        <v>198</v>
      </c>
      <c r="F53" t="s">
        <v>199</v>
      </c>
      <c r="G53" t="s">
        <v>200</v>
      </c>
      <c r="H53" s="16" t="b">
        <f t="shared" si="1"/>
        <v>0</v>
      </c>
      <c r="I53">
        <v>600</v>
      </c>
      <c r="J53">
        <v>600.00100000166663</v>
      </c>
      <c r="K53">
        <v>1.4038455907093258E-11</v>
      </c>
      <c r="L53" s="9">
        <f>MAX('[1]Throttle_%'!B53:AE53)</f>
        <v>9.668944767988334</v>
      </c>
      <c r="M53">
        <f>SUM([2]Core_mCPU!B53:I53)</f>
        <v>5918.9953281653716</v>
      </c>
      <c r="N53">
        <f>SUM(Core_mCPU!B53:I53)</f>
        <v>5918.9953281653716</v>
      </c>
      <c r="O53">
        <v>26.655872998236088</v>
      </c>
    </row>
    <row r="54" spans="1:15" ht="15" customHeight="1" x14ac:dyDescent="0.3">
      <c r="A54" t="s">
        <v>209</v>
      </c>
      <c r="B54" s="6">
        <v>46180</v>
      </c>
      <c r="C54" t="s">
        <v>21</v>
      </c>
      <c r="D54" t="s">
        <v>64</v>
      </c>
      <c r="E54" t="s">
        <v>198</v>
      </c>
      <c r="F54" t="s">
        <v>199</v>
      </c>
      <c r="G54" t="s">
        <v>200</v>
      </c>
      <c r="H54" s="16" t="b">
        <f t="shared" si="1"/>
        <v>0</v>
      </c>
      <c r="I54">
        <v>900</v>
      </c>
      <c r="J54">
        <v>899.99900000666662</v>
      </c>
      <c r="K54">
        <v>2.8076887210468941E-11</v>
      </c>
      <c r="L54" s="9">
        <f>MAX('[1]Throttle_%'!B54:AE54)</f>
        <v>10.300941242150648</v>
      </c>
      <c r="M54">
        <f>SUM([2]Core_mCPU!B54:I54)</f>
        <v>7403.8332417328593</v>
      </c>
      <c r="N54">
        <f>SUM(Core_mCPU!B54:I54)</f>
        <v>7403.8332417328593</v>
      </c>
      <c r="O54">
        <v>35.243547601542986</v>
      </c>
    </row>
    <row r="55" spans="1:15" ht="15" customHeight="1" x14ac:dyDescent="0.3">
      <c r="A55" t="s">
        <v>210</v>
      </c>
      <c r="B55" s="6">
        <v>46180</v>
      </c>
      <c r="C55" t="s">
        <v>21</v>
      </c>
      <c r="D55" t="s">
        <v>64</v>
      </c>
      <c r="E55" t="s">
        <v>198</v>
      </c>
      <c r="F55" t="s">
        <v>199</v>
      </c>
      <c r="G55" t="s">
        <v>200</v>
      </c>
      <c r="H55" s="16" t="b">
        <f t="shared" si="1"/>
        <v>0</v>
      </c>
      <c r="I55">
        <v>1200</v>
      </c>
      <c r="J55">
        <v>1199.9003373198404</v>
      </c>
      <c r="K55">
        <v>4.2115296227252762E-11</v>
      </c>
      <c r="L55" s="9">
        <f>MAX('[1]Throttle_%'!B55:AE55)</f>
        <v>9.4155716955346431</v>
      </c>
      <c r="M55">
        <f>SUM([2]Core_mCPU!B55:I55)</f>
        <v>8613.9973132682862</v>
      </c>
      <c r="N55">
        <f>SUM(Core_mCPU!B55:I55)</f>
        <v>8613.9973132682862</v>
      </c>
      <c r="O55">
        <v>42.681960236348431</v>
      </c>
    </row>
    <row r="56" spans="1:15" ht="15" customHeight="1" x14ac:dyDescent="0.3">
      <c r="A56" t="s">
        <v>211</v>
      </c>
      <c r="B56" s="6">
        <v>46180</v>
      </c>
      <c r="C56" t="s">
        <v>21</v>
      </c>
      <c r="D56" t="s">
        <v>64</v>
      </c>
      <c r="E56" t="s">
        <v>198</v>
      </c>
      <c r="F56" t="s">
        <v>199</v>
      </c>
      <c r="G56" t="s">
        <v>200</v>
      </c>
      <c r="H56" s="17" t="b">
        <f t="shared" si="1"/>
        <v>0</v>
      </c>
      <c r="I56">
        <v>1500</v>
      </c>
      <c r="J56">
        <v>1496.9372013958573</v>
      </c>
      <c r="K56">
        <v>6.1769047239287773E-11</v>
      </c>
      <c r="L56" s="9">
        <f>MAX('[1]Throttle_%'!B56:AE56)</f>
        <v>9.7473749774863006</v>
      </c>
      <c r="M56">
        <f>SUM([2]Core_mCPU!B56:I56)</f>
        <v>9304.1088067000073</v>
      </c>
      <c r="N56">
        <f>SUM(Core_mCPU!B56:I56)</f>
        <v>9304.1088067000073</v>
      </c>
      <c r="O56">
        <v>53.849791944361378</v>
      </c>
    </row>
    <row r="57" spans="1:15" ht="15" customHeight="1" x14ac:dyDescent="0.3">
      <c r="A57" t="s">
        <v>212</v>
      </c>
      <c r="B57" s="6">
        <v>46180</v>
      </c>
      <c r="C57" t="s">
        <v>21</v>
      </c>
      <c r="D57" t="s">
        <v>64</v>
      </c>
      <c r="E57" t="s">
        <v>198</v>
      </c>
      <c r="F57" t="s">
        <v>199</v>
      </c>
      <c r="G57" t="s">
        <v>200</v>
      </c>
      <c r="H57" s="16" t="b">
        <f t="shared" si="1"/>
        <v>0</v>
      </c>
      <c r="I57">
        <v>1800</v>
      </c>
      <c r="J57">
        <v>1794.7743242721242</v>
      </c>
      <c r="K57">
        <v>1.3890635318502355E-10</v>
      </c>
      <c r="L57" s="9">
        <f>MAX('[1]Throttle_%'!B57:AE57)</f>
        <v>8.9613180148957881</v>
      </c>
      <c r="M57">
        <f>SUM([2]Core_mCPU!B57:I57)</f>
        <v>10323.761291197037</v>
      </c>
      <c r="N57">
        <f>SUM(Core_mCPU!B57:I57)</f>
        <v>10323.761291197037</v>
      </c>
      <c r="O57">
        <v>61.261687756447756</v>
      </c>
    </row>
    <row r="58" spans="1:15" ht="15" customHeight="1" x14ac:dyDescent="0.3">
      <c r="A58" t="s">
        <v>213</v>
      </c>
      <c r="B58" s="6">
        <v>46180</v>
      </c>
      <c r="C58" t="s">
        <v>21</v>
      </c>
      <c r="D58" t="s">
        <v>64</v>
      </c>
      <c r="E58" t="s">
        <v>198</v>
      </c>
      <c r="F58" t="s">
        <v>199</v>
      </c>
      <c r="G58" t="s">
        <v>200</v>
      </c>
      <c r="H58" s="16" t="b">
        <f t="shared" si="1"/>
        <v>0</v>
      </c>
      <c r="I58">
        <v>2100</v>
      </c>
      <c r="J58">
        <v>2097.0865692744269</v>
      </c>
      <c r="K58">
        <v>9.2653413687951508E-11</v>
      </c>
      <c r="L58" s="9">
        <f>MAX('[1]Throttle_%'!B58:AE58)</f>
        <v>9.7080150682687858</v>
      </c>
      <c r="M58">
        <f>SUM([2]Core_mCPU!B58:I58)</f>
        <v>10926.640064678311</v>
      </c>
      <c r="N58">
        <f>SUM(Core_mCPU!B58:I58)</f>
        <v>10926.640064678311</v>
      </c>
      <c r="O58">
        <v>64.095780146214054</v>
      </c>
    </row>
    <row r="59" spans="1:15" ht="15" customHeight="1" x14ac:dyDescent="0.3">
      <c r="A59" t="s">
        <v>214</v>
      </c>
      <c r="B59" s="6">
        <v>46180</v>
      </c>
      <c r="C59" t="s">
        <v>21</v>
      </c>
      <c r="D59" t="s">
        <v>64</v>
      </c>
      <c r="E59" t="s">
        <v>198</v>
      </c>
      <c r="F59" t="s">
        <v>199</v>
      </c>
      <c r="G59" t="s">
        <v>200</v>
      </c>
      <c r="H59" s="16" t="b">
        <f t="shared" si="1"/>
        <v>0</v>
      </c>
      <c r="I59">
        <v>2400</v>
      </c>
      <c r="J59">
        <v>2375.1271903047659</v>
      </c>
      <c r="K59">
        <v>7.181741775304826E-10</v>
      </c>
      <c r="L59" s="9">
        <f>MAX('[1]Throttle_%'!B59:AE59)</f>
        <v>8.5909132207632144</v>
      </c>
      <c r="M59">
        <f>SUM([2]Core_mCPU!B59:I59)</f>
        <v>11995.864540757349</v>
      </c>
      <c r="N59">
        <f>SUM(Core_mCPU!B59:I59)</f>
        <v>11995.864540757349</v>
      </c>
      <c r="O59">
        <v>65.842557815852146</v>
      </c>
    </row>
    <row r="60" spans="1:15" ht="15" customHeight="1" x14ac:dyDescent="0.3">
      <c r="A60" t="s">
        <v>215</v>
      </c>
      <c r="B60" s="6">
        <v>46180</v>
      </c>
      <c r="C60" t="s">
        <v>21</v>
      </c>
      <c r="D60" t="s">
        <v>64</v>
      </c>
      <c r="E60" t="s">
        <v>198</v>
      </c>
      <c r="F60" t="s">
        <v>199</v>
      </c>
      <c r="G60" t="s">
        <v>200</v>
      </c>
      <c r="H60" s="16" t="b">
        <f t="shared" si="1"/>
        <v>0</v>
      </c>
      <c r="I60">
        <v>2700</v>
      </c>
      <c r="J60">
        <v>2650.668475037156</v>
      </c>
      <c r="K60">
        <v>6.0365000005340079E-10</v>
      </c>
      <c r="L60" s="9">
        <f>MAX('[1]Throttle_%'!B60:AE60)</f>
        <v>9.754515257994834</v>
      </c>
      <c r="M60">
        <f>SUM([2]Core_mCPU!B60:I60)</f>
        <v>12929.299588519707</v>
      </c>
      <c r="N60">
        <f>SUM(Core_mCPU!B60:I60)</f>
        <v>12929.299588519707</v>
      </c>
      <c r="O60">
        <v>74.79910438678219</v>
      </c>
    </row>
    <row r="61" spans="1:15" ht="15" customHeight="1" x14ac:dyDescent="0.3">
      <c r="A61" t="s">
        <v>216</v>
      </c>
      <c r="B61" s="6">
        <v>46180</v>
      </c>
      <c r="C61" t="s">
        <v>21</v>
      </c>
      <c r="D61" t="s">
        <v>64</v>
      </c>
      <c r="E61" t="s">
        <v>198</v>
      </c>
      <c r="F61" t="s">
        <v>199</v>
      </c>
      <c r="G61" t="s">
        <v>200</v>
      </c>
      <c r="H61" s="17" t="b">
        <f t="shared" si="1"/>
        <v>0</v>
      </c>
      <c r="I61">
        <v>3000</v>
      </c>
      <c r="J61">
        <v>2944.0462936419576</v>
      </c>
      <c r="K61">
        <v>1.4656048300554196E-9</v>
      </c>
      <c r="L61" s="9">
        <f>MAX('[1]Throttle_%'!B61:AE61)</f>
        <v>9.8080102816541057</v>
      </c>
      <c r="M61">
        <f>SUM([2]Core_mCPU!B61:I61)</f>
        <v>13761.022083672986</v>
      </c>
      <c r="N61">
        <f>SUM(Core_mCPU!B61:I61)</f>
        <v>13761.022083672986</v>
      </c>
      <c r="O61">
        <v>78.564892343481546</v>
      </c>
    </row>
    <row r="62" spans="1:15" ht="15" customHeight="1" x14ac:dyDescent="0.3">
      <c r="A62" t="s">
        <v>62</v>
      </c>
      <c r="B62" s="6">
        <v>46193</v>
      </c>
      <c r="C62" t="s">
        <v>63</v>
      </c>
      <c r="D62" t="s">
        <v>64</v>
      </c>
      <c r="E62" t="s">
        <v>65</v>
      </c>
      <c r="F62" t="s">
        <v>66</v>
      </c>
      <c r="G62" t="s">
        <v>67</v>
      </c>
      <c r="H62" t="b">
        <f t="shared" si="1"/>
        <v>0</v>
      </c>
      <c r="I62">
        <v>1</v>
      </c>
      <c r="J62">
        <v>0.9999983333361111</v>
      </c>
      <c r="K62">
        <v>0</v>
      </c>
      <c r="L62" s="9">
        <f>MAX('[1]Throttle_%'!B62:AE62)</f>
        <v>10.271433724482907</v>
      </c>
      <c r="M62">
        <f>SUM([2]Core_mCPU!B62:I62)</f>
        <v>0</v>
      </c>
      <c r="N62">
        <f>SUM([1]Core_mCPU!B62:I62)</f>
        <v>3146.1722039183487</v>
      </c>
      <c r="O62">
        <v>12.173333333333334</v>
      </c>
    </row>
    <row r="63" spans="1:15" ht="15" customHeight="1" x14ac:dyDescent="0.3">
      <c r="A63" t="s">
        <v>68</v>
      </c>
      <c r="B63" s="6">
        <v>46193</v>
      </c>
      <c r="C63" t="s">
        <v>63</v>
      </c>
      <c r="D63" t="s">
        <v>64</v>
      </c>
      <c r="E63" t="s">
        <v>65</v>
      </c>
      <c r="F63" t="s">
        <v>66</v>
      </c>
      <c r="G63" t="s">
        <v>67</v>
      </c>
      <c r="H63" t="b">
        <f t="shared" si="1"/>
        <v>0</v>
      </c>
      <c r="I63">
        <v>300</v>
      </c>
      <c r="J63">
        <v>299.9998333352778</v>
      </c>
      <c r="K63">
        <v>0</v>
      </c>
      <c r="L63" s="9">
        <f>MAX('[1]Throttle_%'!B63:AE63)</f>
        <v>9.3704110822247824</v>
      </c>
      <c r="M63">
        <f>SUM([2]Core_mCPU!B63:I63)</f>
        <v>0</v>
      </c>
      <c r="N63">
        <f>SUM([1]Core_mCPU!B63:I63)</f>
        <v>4594.6635137743951</v>
      </c>
      <c r="O63">
        <v>6.3794291174542508</v>
      </c>
    </row>
    <row r="64" spans="1:15" ht="15" customHeight="1" x14ac:dyDescent="0.3">
      <c r="A64" t="s">
        <v>69</v>
      </c>
      <c r="B64" s="6">
        <v>46193</v>
      </c>
      <c r="C64" t="s">
        <v>63</v>
      </c>
      <c r="D64" t="s">
        <v>64</v>
      </c>
      <c r="E64" t="s">
        <v>65</v>
      </c>
      <c r="F64" t="s">
        <v>66</v>
      </c>
      <c r="G64" t="s">
        <v>67</v>
      </c>
      <c r="H64" t="b">
        <f t="shared" si="1"/>
        <v>0</v>
      </c>
      <c r="I64">
        <v>600</v>
      </c>
      <c r="J64">
        <v>599.99933333777778</v>
      </c>
      <c r="K64">
        <v>0</v>
      </c>
      <c r="L64" s="9">
        <f>MAX('[1]Throttle_%'!B64:AE64)</f>
        <v>10.674024517246213</v>
      </c>
      <c r="M64">
        <f>SUM([2]Core_mCPU!B64:I64)</f>
        <v>0</v>
      </c>
      <c r="N64">
        <f>SUM([1]Core_mCPU!B64:I64)</f>
        <v>5643.0041369035225</v>
      </c>
      <c r="O64">
        <v>5.9525030416497682</v>
      </c>
    </row>
    <row r="65" spans="1:15" ht="15" customHeight="1" x14ac:dyDescent="0.3">
      <c r="A65" t="s">
        <v>70</v>
      </c>
      <c r="B65" s="6">
        <v>46193</v>
      </c>
      <c r="C65" t="s">
        <v>63</v>
      </c>
      <c r="D65" t="s">
        <v>64</v>
      </c>
      <c r="E65" t="s">
        <v>65</v>
      </c>
      <c r="F65" t="s">
        <v>66</v>
      </c>
      <c r="G65" t="s">
        <v>67</v>
      </c>
      <c r="H65" t="b">
        <f t="shared" si="1"/>
        <v>0</v>
      </c>
      <c r="I65">
        <v>900</v>
      </c>
      <c r="J65">
        <v>899.99933334000002</v>
      </c>
      <c r="K65">
        <v>0</v>
      </c>
      <c r="L65" s="9">
        <f>MAX('[1]Throttle_%'!B65:AE65)</f>
        <v>9.6830435386694926</v>
      </c>
      <c r="M65">
        <f>SUM([2]Core_mCPU!B65:I65)</f>
        <v>0</v>
      </c>
      <c r="N65">
        <f>SUM([1]Core_mCPU!B65:I65)</f>
        <v>6560.2447269157547</v>
      </c>
      <c r="O65">
        <v>5.7423394227831226</v>
      </c>
    </row>
    <row r="66" spans="1:15" ht="15" customHeight="1" x14ac:dyDescent="0.3">
      <c r="A66" t="s">
        <v>71</v>
      </c>
      <c r="B66" s="6">
        <v>46193</v>
      </c>
      <c r="C66" t="s">
        <v>63</v>
      </c>
      <c r="D66" t="s">
        <v>64</v>
      </c>
      <c r="E66" t="s">
        <v>65</v>
      </c>
      <c r="F66" t="s">
        <v>66</v>
      </c>
      <c r="G66" t="s">
        <v>67</v>
      </c>
      <c r="H66" t="b">
        <f t="shared" si="1"/>
        <v>0</v>
      </c>
      <c r="I66">
        <v>1200</v>
      </c>
      <c r="J66">
        <v>1200.0019999866668</v>
      </c>
      <c r="K66">
        <v>0</v>
      </c>
      <c r="L66" s="9">
        <f>MAX('[1]Throttle_%'!B66:AE66)</f>
        <v>9.5890859339050483</v>
      </c>
      <c r="M66">
        <f>SUM([2]Core_mCPU!B66:I66)</f>
        <v>0</v>
      </c>
      <c r="N66">
        <f>SUM([1]Core_mCPU!B66:I66)</f>
        <v>7011.4108009649563</v>
      </c>
      <c r="O66">
        <v>5.6999025008124935</v>
      </c>
    </row>
    <row r="67" spans="1:15" ht="15" customHeight="1" x14ac:dyDescent="0.3">
      <c r="A67" t="s">
        <v>72</v>
      </c>
      <c r="B67" s="6">
        <v>46193</v>
      </c>
      <c r="C67" t="s">
        <v>63</v>
      </c>
      <c r="D67" t="s">
        <v>64</v>
      </c>
      <c r="E67" t="s">
        <v>65</v>
      </c>
      <c r="F67" t="s">
        <v>66</v>
      </c>
      <c r="G67" t="s">
        <v>67</v>
      </c>
      <c r="H67" t="b">
        <f t="shared" si="1"/>
        <v>0</v>
      </c>
      <c r="I67">
        <v>1500</v>
      </c>
      <c r="J67">
        <v>1500.0016666611114</v>
      </c>
      <c r="K67">
        <v>0</v>
      </c>
      <c r="L67" s="9">
        <f>MAX('[1]Throttle_%'!B67:AE67)</f>
        <v>9.9367294651760325</v>
      </c>
      <c r="M67">
        <f>SUM([2]Core_mCPU!B67:I67)</f>
        <v>0</v>
      </c>
      <c r="N67">
        <f>SUM([1]Core_mCPU!B67:I67)</f>
        <v>7695.6800117104776</v>
      </c>
      <c r="O67">
        <v>5.9391913813716384</v>
      </c>
    </row>
    <row r="68" spans="1:15" ht="15" customHeight="1" x14ac:dyDescent="0.3">
      <c r="A68" t="s">
        <v>73</v>
      </c>
      <c r="B68" s="6">
        <v>46193</v>
      </c>
      <c r="C68" t="s">
        <v>63</v>
      </c>
      <c r="D68" t="s">
        <v>64</v>
      </c>
      <c r="E68" t="s">
        <v>65</v>
      </c>
      <c r="F68" t="s">
        <v>66</v>
      </c>
      <c r="G68" t="s">
        <v>67</v>
      </c>
      <c r="H68" t="b">
        <f t="shared" si="1"/>
        <v>0</v>
      </c>
      <c r="I68">
        <v>1800</v>
      </c>
      <c r="J68">
        <v>1799.9706677421827</v>
      </c>
      <c r="K68">
        <v>0</v>
      </c>
      <c r="L68" s="9">
        <f>MAX('[1]Throttle_%'!B68:AE68)</f>
        <v>9.3686765055245971</v>
      </c>
      <c r="M68">
        <f>SUM([2]Core_mCPU!B68:I68)</f>
        <v>0</v>
      </c>
      <c r="N68">
        <f>SUM([1]Core_mCPU!B68:I68)</f>
        <v>8100.3103557237046</v>
      </c>
      <c r="O68">
        <v>6.5259022501393487</v>
      </c>
    </row>
    <row r="69" spans="1:15" ht="15" customHeight="1" x14ac:dyDescent="0.3">
      <c r="A69" t="s">
        <v>74</v>
      </c>
      <c r="B69" s="6">
        <v>46193</v>
      </c>
      <c r="C69" t="s">
        <v>63</v>
      </c>
      <c r="D69" t="s">
        <v>64</v>
      </c>
      <c r="E69" t="s">
        <v>65</v>
      </c>
      <c r="F69" t="s">
        <v>66</v>
      </c>
      <c r="G69" t="s">
        <v>67</v>
      </c>
      <c r="H69" t="b">
        <f t="shared" si="1"/>
        <v>0</v>
      </c>
      <c r="I69">
        <v>2100</v>
      </c>
      <c r="J69">
        <v>2100.0061904663644</v>
      </c>
      <c r="K69">
        <v>0</v>
      </c>
      <c r="L69" s="9">
        <f>MAX('[1]Throttle_%'!B69:AE69)</f>
        <v>10.453330117458986</v>
      </c>
      <c r="M69">
        <f>SUM([2]Core_mCPU!B69:I69)</f>
        <v>0</v>
      </c>
      <c r="N69">
        <f>SUM([1]Core_mCPU!B69:I69)</f>
        <v>8764.2602277244714</v>
      </c>
      <c r="O69">
        <v>7.2148637269974589</v>
      </c>
    </row>
    <row r="70" spans="1:15" ht="15" customHeight="1" x14ac:dyDescent="0.3">
      <c r="A70" t="s">
        <v>75</v>
      </c>
      <c r="B70" s="6">
        <v>46193</v>
      </c>
      <c r="C70" t="s">
        <v>63</v>
      </c>
      <c r="D70" t="s">
        <v>64</v>
      </c>
      <c r="E70" t="s">
        <v>65</v>
      </c>
      <c r="F70" t="s">
        <v>66</v>
      </c>
      <c r="G70" t="s">
        <v>67</v>
      </c>
      <c r="H70" t="b">
        <f t="shared" si="1"/>
        <v>0</v>
      </c>
      <c r="I70">
        <v>2400</v>
      </c>
      <c r="J70">
        <v>2400.0003508728842</v>
      </c>
      <c r="K70">
        <v>0</v>
      </c>
      <c r="L70" s="9">
        <f>MAX('[1]Throttle_%'!B70:AE70)</f>
        <v>10.022736434960811</v>
      </c>
      <c r="M70">
        <f>SUM([2]Core_mCPU!B70:I70)</f>
        <v>0</v>
      </c>
      <c r="N70">
        <f>SUM([1]Core_mCPU!B70:I70)</f>
        <v>9377.4257658647984</v>
      </c>
      <c r="O70">
        <v>9.1507371618919944</v>
      </c>
    </row>
    <row r="71" spans="1:15" ht="15" customHeight="1" x14ac:dyDescent="0.3">
      <c r="A71" t="s">
        <v>76</v>
      </c>
      <c r="B71" s="6">
        <v>46193</v>
      </c>
      <c r="C71" t="s">
        <v>63</v>
      </c>
      <c r="D71" t="s">
        <v>64</v>
      </c>
      <c r="E71" t="s">
        <v>65</v>
      </c>
      <c r="F71" t="s">
        <v>66</v>
      </c>
      <c r="G71" t="s">
        <v>67</v>
      </c>
      <c r="H71" t="b">
        <f t="shared" si="1"/>
        <v>0</v>
      </c>
      <c r="I71">
        <v>2700</v>
      </c>
      <c r="J71">
        <v>2699.9573353243513</v>
      </c>
      <c r="K71">
        <v>0</v>
      </c>
      <c r="L71" s="9">
        <f>MAX('[1]Throttle_%'!B71:AE71)</f>
        <v>10.125924124310661</v>
      </c>
      <c r="M71">
        <f>SUM([2]Core_mCPU!B71:I71)</f>
        <v>0</v>
      </c>
      <c r="N71">
        <f>SUM([1]Core_mCPU!B71:I71)</f>
        <v>9845.8414588745782</v>
      </c>
      <c r="O71">
        <v>12.242843739390759</v>
      </c>
    </row>
    <row r="72" spans="1:15" ht="15" customHeight="1" x14ac:dyDescent="0.3">
      <c r="A72" t="s">
        <v>77</v>
      </c>
      <c r="B72" s="6">
        <v>46193</v>
      </c>
      <c r="C72" t="s">
        <v>63</v>
      </c>
      <c r="D72" t="s">
        <v>64</v>
      </c>
      <c r="E72" t="s">
        <v>65</v>
      </c>
      <c r="F72" t="s">
        <v>66</v>
      </c>
      <c r="G72" t="s">
        <v>67</v>
      </c>
      <c r="H72" t="b">
        <f t="shared" ref="H72:H120" si="2">L72&gt;20</f>
        <v>0</v>
      </c>
      <c r="I72">
        <v>3000</v>
      </c>
      <c r="J72">
        <v>3001.5611128845017</v>
      </c>
      <c r="K72">
        <v>2.5739855486422329E-8</v>
      </c>
      <c r="L72" s="9">
        <f>MAX('[1]Throttle_%'!B72:AE72)</f>
        <v>10.818900008113598</v>
      </c>
      <c r="M72">
        <f>SUM([2]Core_mCPU!B72:I72)</f>
        <v>0</v>
      </c>
      <c r="N72">
        <f>SUM([1]Core_mCPU!B72:I72)</f>
        <v>10415.351418842343</v>
      </c>
      <c r="O72">
        <v>15.520811662273957</v>
      </c>
    </row>
    <row r="73" spans="1:15" ht="15" customHeight="1" x14ac:dyDescent="0.3">
      <c r="A73" t="s">
        <v>78</v>
      </c>
      <c r="B73" s="6">
        <v>46193</v>
      </c>
      <c r="C73" t="s">
        <v>79</v>
      </c>
      <c r="D73" t="s">
        <v>64</v>
      </c>
      <c r="E73" t="s">
        <v>65</v>
      </c>
      <c r="F73" t="s">
        <v>66</v>
      </c>
      <c r="G73" t="s">
        <v>67</v>
      </c>
      <c r="H73" t="b">
        <f t="shared" si="2"/>
        <v>0</v>
      </c>
      <c r="I73">
        <v>1</v>
      </c>
      <c r="J73">
        <v>1</v>
      </c>
      <c r="K73">
        <v>0</v>
      </c>
      <c r="L73" s="9">
        <f>MAX('[1]Throttle_%'!B73:AE73)</f>
        <v>9.8188073480542943</v>
      </c>
      <c r="M73">
        <f>SUM([2]Core_mCPU!B73:I73)</f>
        <v>0</v>
      </c>
      <c r="N73">
        <f>SUM([1]Core_mCPU!B73:I73)</f>
        <v>3210.768804049655</v>
      </c>
      <c r="O73">
        <v>12.316666666666666</v>
      </c>
    </row>
    <row r="74" spans="1:15" ht="15" customHeight="1" x14ac:dyDescent="0.3">
      <c r="A74" t="s">
        <v>80</v>
      </c>
      <c r="B74" s="6">
        <v>46192</v>
      </c>
      <c r="C74" t="s">
        <v>79</v>
      </c>
      <c r="D74" t="s">
        <v>64</v>
      </c>
      <c r="E74" t="s">
        <v>65</v>
      </c>
      <c r="F74" t="s">
        <v>66</v>
      </c>
      <c r="G74" t="s">
        <v>67</v>
      </c>
      <c r="H74" t="b">
        <f t="shared" si="2"/>
        <v>0</v>
      </c>
      <c r="I74">
        <v>300</v>
      </c>
      <c r="J74">
        <v>299.99966666888889</v>
      </c>
      <c r="K74">
        <v>0</v>
      </c>
      <c r="L74" s="9">
        <f>MAX('[1]Throttle_%'!B74:AE74)</f>
        <v>10.464726907874034</v>
      </c>
      <c r="M74">
        <f>SUM([2]Core_mCPU!B74:I74)</f>
        <v>0</v>
      </c>
      <c r="N74">
        <f>SUM([1]Core_mCPU!B74:I74)</f>
        <v>4689.3314033641509</v>
      </c>
      <c r="O74">
        <v>6.3937144793640037</v>
      </c>
    </row>
    <row r="75" spans="1:15" ht="15" customHeight="1" x14ac:dyDescent="0.3">
      <c r="A75" t="s">
        <v>81</v>
      </c>
      <c r="B75" s="6">
        <v>46192</v>
      </c>
      <c r="C75" t="s">
        <v>79</v>
      </c>
      <c r="D75" t="s">
        <v>64</v>
      </c>
      <c r="E75" t="s">
        <v>65</v>
      </c>
      <c r="F75" t="s">
        <v>66</v>
      </c>
      <c r="G75" t="s">
        <v>67</v>
      </c>
      <c r="H75" t="b">
        <f t="shared" si="2"/>
        <v>0</v>
      </c>
      <c r="I75">
        <v>600</v>
      </c>
      <c r="J75">
        <v>600.00066666555563</v>
      </c>
      <c r="K75">
        <v>0</v>
      </c>
      <c r="L75" s="9">
        <f>MAX('[1]Throttle_%'!B75:AE75)</f>
        <v>9.9828352387336725</v>
      </c>
      <c r="M75">
        <f>SUM([2]Core_mCPU!B75:I75)</f>
        <v>0</v>
      </c>
      <c r="N75">
        <f>SUM([1]Core_mCPU!B75:I75)</f>
        <v>5603.098735623581</v>
      </c>
      <c r="O75">
        <v>5.9465918150227361</v>
      </c>
    </row>
    <row r="76" spans="1:15" ht="15" customHeight="1" x14ac:dyDescent="0.3">
      <c r="A76" t="s">
        <v>82</v>
      </c>
      <c r="B76" s="6">
        <v>46193</v>
      </c>
      <c r="C76" t="s">
        <v>79</v>
      </c>
      <c r="D76" t="s">
        <v>64</v>
      </c>
      <c r="E76" t="s">
        <v>65</v>
      </c>
      <c r="F76" t="s">
        <v>66</v>
      </c>
      <c r="G76" t="s">
        <v>67</v>
      </c>
      <c r="H76" t="b">
        <f t="shared" si="2"/>
        <v>0</v>
      </c>
      <c r="I76">
        <v>900</v>
      </c>
      <c r="J76">
        <v>900.00066666222222</v>
      </c>
      <c r="K76">
        <v>0</v>
      </c>
      <c r="L76" s="9">
        <f>MAX('[1]Throttle_%'!B76:AE76)</f>
        <v>10.204702058950968</v>
      </c>
      <c r="M76">
        <f>SUM([2]Core_mCPU!B76:I76)</f>
        <v>0</v>
      </c>
      <c r="N76">
        <f>SUM([1]Core_mCPU!B76:I76)</f>
        <v>6448.1245820199747</v>
      </c>
      <c r="O76">
        <v>5.7040447848534459</v>
      </c>
    </row>
    <row r="77" spans="1:15" ht="15" customHeight="1" x14ac:dyDescent="0.3">
      <c r="A77" t="s">
        <v>83</v>
      </c>
      <c r="B77" s="6">
        <v>46192</v>
      </c>
      <c r="C77" t="s">
        <v>79</v>
      </c>
      <c r="D77" t="s">
        <v>64</v>
      </c>
      <c r="E77" t="s">
        <v>65</v>
      </c>
      <c r="F77" t="s">
        <v>66</v>
      </c>
      <c r="G77" t="s">
        <v>67</v>
      </c>
      <c r="H77" t="b">
        <f t="shared" si="2"/>
        <v>0</v>
      </c>
      <c r="I77">
        <v>1200</v>
      </c>
      <c r="J77">
        <v>1200</v>
      </c>
      <c r="K77">
        <v>2.8059791304704512E-12</v>
      </c>
      <c r="L77" s="9">
        <f>MAX('[1]Throttle_%'!B77:AE77)</f>
        <v>10.160128333645613</v>
      </c>
      <c r="M77">
        <f>SUM([2]Core_mCPU!B77:I77)</f>
        <v>0</v>
      </c>
      <c r="N77">
        <f>SUM([1]Core_mCPU!B77:I77)</f>
        <v>6915.2993592658377</v>
      </c>
      <c r="O77">
        <v>5.6899521531100481</v>
      </c>
    </row>
    <row r="78" spans="1:15" ht="15" customHeight="1" x14ac:dyDescent="0.3">
      <c r="A78" t="s">
        <v>84</v>
      </c>
      <c r="B78" s="6">
        <v>46193</v>
      </c>
      <c r="C78" t="s">
        <v>79</v>
      </c>
      <c r="D78" t="s">
        <v>64</v>
      </c>
      <c r="E78" t="s">
        <v>65</v>
      </c>
      <c r="F78" t="s">
        <v>66</v>
      </c>
      <c r="G78" t="s">
        <v>67</v>
      </c>
      <c r="H78" t="b">
        <f t="shared" si="2"/>
        <v>0</v>
      </c>
      <c r="I78">
        <v>1500</v>
      </c>
      <c r="J78">
        <v>1500.0033333111112</v>
      </c>
      <c r="K78">
        <v>0</v>
      </c>
      <c r="L78" s="9">
        <f>MAX('[1]Throttle_%'!B78:AE78)</f>
        <v>10.095774779237958</v>
      </c>
      <c r="M78">
        <f>SUM([2]Core_mCPU!B78:I78)</f>
        <v>0</v>
      </c>
      <c r="N78">
        <f>SUM([1]Core_mCPU!B78:I78)</f>
        <v>7553.9755385579165</v>
      </c>
      <c r="O78">
        <v>5.869228940187198</v>
      </c>
    </row>
    <row r="79" spans="1:15" ht="15" customHeight="1" x14ac:dyDescent="0.3">
      <c r="A79" t="s">
        <v>85</v>
      </c>
      <c r="B79" s="6">
        <v>46193</v>
      </c>
      <c r="C79" t="s">
        <v>79</v>
      </c>
      <c r="D79" t="s">
        <v>64</v>
      </c>
      <c r="E79" t="s">
        <v>65</v>
      </c>
      <c r="F79" t="s">
        <v>66</v>
      </c>
      <c r="G79" t="s">
        <v>67</v>
      </c>
      <c r="H79" t="b">
        <f t="shared" si="2"/>
        <v>0</v>
      </c>
      <c r="I79">
        <v>1800</v>
      </c>
      <c r="J79">
        <v>1799.9960000533324</v>
      </c>
      <c r="K79">
        <v>8.4179247478270523E-12</v>
      </c>
      <c r="L79" s="9">
        <f>MAX('[1]Throttle_%'!B79:AE79)</f>
        <v>9.4549585327592762</v>
      </c>
      <c r="M79">
        <f>SUM([2]Core_mCPU!B79:I79)</f>
        <v>0</v>
      </c>
      <c r="N79">
        <f>SUM([1]Core_mCPU!B79:I79)</f>
        <v>8313.2541755079692</v>
      </c>
      <c r="O79">
        <v>6.3362036797841501</v>
      </c>
    </row>
    <row r="80" spans="1:15" ht="15" customHeight="1" x14ac:dyDescent="0.3">
      <c r="A80" t="s">
        <v>86</v>
      </c>
      <c r="B80" s="6">
        <v>46193</v>
      </c>
      <c r="C80" t="s">
        <v>79</v>
      </c>
      <c r="D80" t="s">
        <v>64</v>
      </c>
      <c r="E80" t="s">
        <v>65</v>
      </c>
      <c r="F80" t="s">
        <v>66</v>
      </c>
      <c r="G80" t="s">
        <v>67</v>
      </c>
      <c r="H80" t="b">
        <f t="shared" si="2"/>
        <v>0</v>
      </c>
      <c r="I80">
        <v>2100</v>
      </c>
      <c r="J80">
        <v>2099.9954386445056</v>
      </c>
      <c r="K80">
        <v>2.953655615129705E-12</v>
      </c>
      <c r="L80" s="9">
        <f>MAX('[1]Throttle_%'!B80:AE80)</f>
        <v>9.7091171280506554</v>
      </c>
      <c r="M80">
        <f>SUM([2]Core_mCPU!B80:I80)</f>
        <v>0</v>
      </c>
      <c r="N80">
        <f>SUM([1]Core_mCPU!B80:I80)</f>
        <v>9033.8608775248431</v>
      </c>
      <c r="O80">
        <v>7.3420818055670427</v>
      </c>
    </row>
    <row r="81" spans="1:15" ht="15" customHeight="1" x14ac:dyDescent="0.3">
      <c r="A81" t="s">
        <v>87</v>
      </c>
      <c r="B81" s="6">
        <v>46193</v>
      </c>
      <c r="C81" t="s">
        <v>79</v>
      </c>
      <c r="D81" t="s">
        <v>64</v>
      </c>
      <c r="E81" t="s">
        <v>65</v>
      </c>
      <c r="F81" t="s">
        <v>66</v>
      </c>
      <c r="G81" t="s">
        <v>67</v>
      </c>
      <c r="H81" t="b">
        <f t="shared" si="2"/>
        <v>0</v>
      </c>
      <c r="I81">
        <v>2400</v>
      </c>
      <c r="J81">
        <v>2397.6323873427627</v>
      </c>
      <c r="K81">
        <v>8.4179121666865756E-12</v>
      </c>
      <c r="L81" s="9">
        <f>MAX('[1]Throttle_%'!B81:AE81)</f>
        <v>9.7230932057306259</v>
      </c>
      <c r="M81">
        <f>SUM([2]Core_mCPU!B81:I81)</f>
        <v>0</v>
      </c>
      <c r="N81">
        <f>SUM([1]Core_mCPU!B81:I81)</f>
        <v>9432.8857276532381</v>
      </c>
      <c r="O81">
        <v>9.4377563754012943</v>
      </c>
    </row>
    <row r="82" spans="1:15" ht="15" customHeight="1" x14ac:dyDescent="0.3">
      <c r="A82" t="s">
        <v>88</v>
      </c>
      <c r="B82" s="6">
        <v>46193</v>
      </c>
      <c r="C82" t="s">
        <v>79</v>
      </c>
      <c r="D82" t="s">
        <v>64</v>
      </c>
      <c r="E82" t="s">
        <v>65</v>
      </c>
      <c r="F82" t="s">
        <v>66</v>
      </c>
      <c r="G82" t="s">
        <v>67</v>
      </c>
      <c r="H82" t="b">
        <f t="shared" si="2"/>
        <v>0</v>
      </c>
      <c r="I82">
        <v>2700</v>
      </c>
      <c r="J82">
        <v>2700.6625011669626</v>
      </c>
      <c r="K82">
        <v>4.635460257431533E-9</v>
      </c>
      <c r="L82" s="9">
        <f>MAX('[1]Throttle_%'!B82:AE82)</f>
        <v>9.2681180351340959</v>
      </c>
      <c r="M82">
        <f>SUM([2]Core_mCPU!B82:I82)</f>
        <v>0</v>
      </c>
      <c r="N82">
        <f>SUM([1]Core_mCPU!B82:I82)</f>
        <v>10016.749554582924</v>
      </c>
      <c r="O82">
        <v>11.20282141830956</v>
      </c>
    </row>
    <row r="83" spans="1:15" ht="15" customHeight="1" x14ac:dyDescent="0.3">
      <c r="A83" t="s">
        <v>89</v>
      </c>
      <c r="B83" s="6">
        <v>46193</v>
      </c>
      <c r="C83" t="s">
        <v>79</v>
      </c>
      <c r="D83" t="s">
        <v>64</v>
      </c>
      <c r="E83" t="s">
        <v>65</v>
      </c>
      <c r="F83" t="s">
        <v>66</v>
      </c>
      <c r="G83" t="s">
        <v>67</v>
      </c>
      <c r="H83" t="b">
        <f t="shared" si="2"/>
        <v>0</v>
      </c>
      <c r="I83">
        <v>3000</v>
      </c>
      <c r="J83">
        <v>3004.4246310582066</v>
      </c>
      <c r="K83">
        <v>3.8197622731850735E-8</v>
      </c>
      <c r="L83" s="9">
        <f>MAX('[1]Throttle_%'!B83:AE83)</f>
        <v>9.7751774267709219</v>
      </c>
      <c r="M83">
        <f>SUM([2]Core_mCPU!B83:I83)</f>
        <v>0</v>
      </c>
      <c r="N83">
        <f>SUM([1]Core_mCPU!B83:I83)</f>
        <v>10313.133961073007</v>
      </c>
      <c r="O83">
        <v>14.981825672441163</v>
      </c>
    </row>
    <row r="84" spans="1:15" ht="15" customHeight="1" x14ac:dyDescent="0.3">
      <c r="A84" t="s">
        <v>90</v>
      </c>
      <c r="B84" s="6">
        <v>46192</v>
      </c>
      <c r="C84" t="s">
        <v>91</v>
      </c>
      <c r="D84" t="s">
        <v>64</v>
      </c>
      <c r="E84" t="s">
        <v>65</v>
      </c>
      <c r="F84" t="s">
        <v>66</v>
      </c>
      <c r="G84" t="s">
        <v>67</v>
      </c>
      <c r="H84" t="b">
        <f t="shared" si="2"/>
        <v>0</v>
      </c>
      <c r="I84">
        <v>1</v>
      </c>
      <c r="J84">
        <v>1</v>
      </c>
      <c r="K84">
        <v>0</v>
      </c>
      <c r="L84" s="9">
        <f>MAX('[1]Throttle_%'!B84:AE84)</f>
        <v>10.205929289793179</v>
      </c>
      <c r="M84">
        <f>SUM([2]Core_mCPU!B84:I84)</f>
        <v>0</v>
      </c>
      <c r="N84">
        <f>SUM([1]Core_mCPU!B84:I84)</f>
        <v>3082.626861561409</v>
      </c>
      <c r="O84">
        <v>12.46</v>
      </c>
    </row>
    <row r="85" spans="1:15" ht="15" customHeight="1" x14ac:dyDescent="0.3">
      <c r="A85" t="s">
        <v>92</v>
      </c>
      <c r="B85" s="6">
        <v>46192</v>
      </c>
      <c r="C85" t="s">
        <v>91</v>
      </c>
      <c r="D85" t="s">
        <v>64</v>
      </c>
      <c r="E85" t="s">
        <v>65</v>
      </c>
      <c r="F85" t="s">
        <v>66</v>
      </c>
      <c r="G85" t="s">
        <v>67</v>
      </c>
      <c r="H85" t="b">
        <f t="shared" si="2"/>
        <v>0</v>
      </c>
      <c r="I85">
        <v>300</v>
      </c>
      <c r="J85">
        <v>299.99966666888889</v>
      </c>
      <c r="K85">
        <v>0</v>
      </c>
      <c r="L85" s="9">
        <f>MAX('[1]Throttle_%'!B85:AE85)</f>
        <v>10.400980668589469</v>
      </c>
      <c r="M85">
        <f>SUM([2]Core_mCPU!B85:I85)</f>
        <v>0</v>
      </c>
      <c r="N85">
        <f>SUM([1]Core_mCPU!B85:I85)</f>
        <v>4785.6790516243327</v>
      </c>
      <c r="O85">
        <v>6.383742312542708</v>
      </c>
    </row>
    <row r="86" spans="1:15" ht="15" customHeight="1" x14ac:dyDescent="0.3">
      <c r="A86" t="s">
        <v>93</v>
      </c>
      <c r="B86" s="6">
        <v>46192</v>
      </c>
      <c r="C86" t="s">
        <v>91</v>
      </c>
      <c r="D86" t="s">
        <v>64</v>
      </c>
      <c r="E86" t="s">
        <v>65</v>
      </c>
      <c r="F86" t="s">
        <v>66</v>
      </c>
      <c r="G86" t="s">
        <v>67</v>
      </c>
      <c r="H86" t="b">
        <f t="shared" si="2"/>
        <v>0</v>
      </c>
      <c r="I86">
        <v>600</v>
      </c>
      <c r="J86">
        <v>600.00033333166664</v>
      </c>
      <c r="K86">
        <v>0</v>
      </c>
      <c r="L86" s="9">
        <f>MAX('[1]Throttle_%'!B86:AE86)</f>
        <v>9.9024002709460053</v>
      </c>
      <c r="M86">
        <f>SUM([2]Core_mCPU!B86:I86)</f>
        <v>0</v>
      </c>
      <c r="N86">
        <f>SUM([1]Core_mCPU!B86:I86)</f>
        <v>5644.0504697965362</v>
      </c>
      <c r="O86">
        <v>5.9088060621885434</v>
      </c>
    </row>
    <row r="87" spans="1:15" ht="15" customHeight="1" x14ac:dyDescent="0.3">
      <c r="A87" t="s">
        <v>94</v>
      </c>
      <c r="B87" s="6">
        <v>46192</v>
      </c>
      <c r="C87" t="s">
        <v>91</v>
      </c>
      <c r="D87" t="s">
        <v>64</v>
      </c>
      <c r="E87" t="s">
        <v>65</v>
      </c>
      <c r="F87" t="s">
        <v>66</v>
      </c>
      <c r="G87" t="s">
        <v>67</v>
      </c>
      <c r="H87" t="b">
        <f t="shared" si="2"/>
        <v>0</v>
      </c>
      <c r="I87">
        <v>900</v>
      </c>
      <c r="J87">
        <v>900.0009999900002</v>
      </c>
      <c r="K87">
        <v>0</v>
      </c>
      <c r="L87" s="9">
        <f>MAX('[1]Throttle_%'!B87:AE87)</f>
        <v>10.288256142420103</v>
      </c>
      <c r="M87">
        <f>SUM([2]Core_mCPU!B87:I87)</f>
        <v>0</v>
      </c>
      <c r="N87">
        <f>SUM([1]Core_mCPU!B87:I87)</f>
        <v>6548.9568598201131</v>
      </c>
      <c r="O87">
        <v>5.7053180890582693</v>
      </c>
    </row>
    <row r="88" spans="1:15" ht="15" customHeight="1" x14ac:dyDescent="0.3">
      <c r="A88" t="s">
        <v>95</v>
      </c>
      <c r="B88" s="6">
        <v>46192</v>
      </c>
      <c r="C88" t="s">
        <v>91</v>
      </c>
      <c r="D88" t="s">
        <v>64</v>
      </c>
      <c r="E88" t="s">
        <v>65</v>
      </c>
      <c r="F88" t="s">
        <v>66</v>
      </c>
      <c r="G88" t="s">
        <v>67</v>
      </c>
      <c r="H88" t="b">
        <f t="shared" si="2"/>
        <v>0</v>
      </c>
      <c r="I88">
        <v>1200</v>
      </c>
      <c r="J88">
        <v>1200.0023333216666</v>
      </c>
      <c r="K88">
        <v>0</v>
      </c>
      <c r="L88" s="9">
        <f>MAX('[1]Throttle_%'!B88:AE88)</f>
        <v>9.7550569843689097</v>
      </c>
      <c r="M88">
        <f>SUM([2]Core_mCPU!B88:I88)</f>
        <v>0</v>
      </c>
      <c r="N88">
        <f>SUM([1]Core_mCPU!B88:I88)</f>
        <v>7029.2864709040723</v>
      </c>
      <c r="O88">
        <v>5.6938826813702681</v>
      </c>
    </row>
    <row r="89" spans="1:15" ht="15" customHeight="1" x14ac:dyDescent="0.3">
      <c r="A89" t="s">
        <v>96</v>
      </c>
      <c r="B89" s="6">
        <v>46192</v>
      </c>
      <c r="C89" t="s">
        <v>91</v>
      </c>
      <c r="D89" t="s">
        <v>64</v>
      </c>
      <c r="E89" t="s">
        <v>65</v>
      </c>
      <c r="F89" t="s">
        <v>66</v>
      </c>
      <c r="G89" t="s">
        <v>67</v>
      </c>
      <c r="H89" t="b">
        <f t="shared" si="2"/>
        <v>0</v>
      </c>
      <c r="I89">
        <v>1500</v>
      </c>
      <c r="J89">
        <v>1500.0033333111112</v>
      </c>
      <c r="K89">
        <v>5.6119936488584288E-12</v>
      </c>
      <c r="L89" s="9">
        <f>MAX('[1]Throttle_%'!B89:AE89)</f>
        <v>9.8968646968251228</v>
      </c>
      <c r="M89">
        <f>SUM([2]Core_mCPU!B89:I89)</f>
        <v>0</v>
      </c>
      <c r="N89">
        <f>SUM([1]Core_mCPU!B89:I89)</f>
        <v>7407.1587779224183</v>
      </c>
      <c r="O89">
        <v>6.0030877571927297</v>
      </c>
    </row>
    <row r="90" spans="1:15" ht="15" customHeight="1" x14ac:dyDescent="0.3">
      <c r="A90" t="s">
        <v>97</v>
      </c>
      <c r="B90" s="6">
        <v>46192</v>
      </c>
      <c r="C90" t="s">
        <v>91</v>
      </c>
      <c r="D90" t="s">
        <v>64</v>
      </c>
      <c r="E90" t="s">
        <v>65</v>
      </c>
      <c r="F90" t="s">
        <v>66</v>
      </c>
      <c r="G90" t="s">
        <v>67</v>
      </c>
      <c r="H90" t="b">
        <f t="shared" si="2"/>
        <v>0</v>
      </c>
      <c r="I90">
        <v>1800</v>
      </c>
      <c r="J90">
        <v>1800.0039999866669</v>
      </c>
      <c r="K90">
        <v>0</v>
      </c>
      <c r="L90" s="9">
        <f>MAX('[1]Throttle_%'!B90:AE90)</f>
        <v>10.368860078583756</v>
      </c>
      <c r="M90">
        <f>SUM([2]Core_mCPU!B90:I90)</f>
        <v>0</v>
      </c>
      <c r="N90">
        <f>SUM([1]Core_mCPU!B90:I90)</f>
        <v>8460.2687904149116</v>
      </c>
      <c r="O90">
        <v>6.3143658461156695</v>
      </c>
    </row>
    <row r="91" spans="1:15" ht="15" customHeight="1" x14ac:dyDescent="0.3">
      <c r="A91" t="s">
        <v>98</v>
      </c>
      <c r="B91" s="6">
        <v>46193</v>
      </c>
      <c r="C91" t="s">
        <v>91</v>
      </c>
      <c r="D91" t="s">
        <v>64</v>
      </c>
      <c r="E91" t="s">
        <v>65</v>
      </c>
      <c r="F91" t="s">
        <v>66</v>
      </c>
      <c r="G91" t="s">
        <v>67</v>
      </c>
      <c r="H91" t="b">
        <f t="shared" si="2"/>
        <v>0</v>
      </c>
      <c r="I91">
        <v>2100</v>
      </c>
      <c r="J91">
        <v>2100.0019999733336</v>
      </c>
      <c r="K91">
        <v>0</v>
      </c>
      <c r="L91" s="9">
        <f>MAX('[1]Throttle_%'!B91:AE91)</f>
        <v>10.198813685081273</v>
      </c>
      <c r="M91">
        <f>SUM([2]Core_mCPU!B91:I91)</f>
        <v>0</v>
      </c>
      <c r="N91">
        <f>SUM([1]Core_mCPU!B91:I91)</f>
        <v>8831.4874213794592</v>
      </c>
      <c r="O91">
        <v>7.6281283283254684</v>
      </c>
    </row>
    <row r="92" spans="1:15" ht="15" customHeight="1" x14ac:dyDescent="0.3">
      <c r="A92" t="s">
        <v>99</v>
      </c>
      <c r="B92" s="6">
        <v>46192</v>
      </c>
      <c r="C92" t="s">
        <v>91</v>
      </c>
      <c r="D92" t="s">
        <v>64</v>
      </c>
      <c r="E92" t="s">
        <v>65</v>
      </c>
      <c r="F92" t="s">
        <v>66</v>
      </c>
      <c r="G92" t="s">
        <v>67</v>
      </c>
      <c r="H92" t="b">
        <f t="shared" si="2"/>
        <v>0</v>
      </c>
      <c r="I92">
        <v>2400</v>
      </c>
      <c r="J92">
        <v>2400.1916826402198</v>
      </c>
      <c r="K92">
        <v>2.8059904865703246E-12</v>
      </c>
      <c r="L92" s="9">
        <f>MAX('[1]Throttle_%'!B92:AE92)</f>
        <v>10.288055268235546</v>
      </c>
      <c r="M92">
        <f>SUM([2]Core_mCPU!B92:I92)</f>
        <v>0</v>
      </c>
      <c r="N92">
        <f>SUM([1]Core_mCPU!B92:I92)</f>
        <v>9241.0820073868836</v>
      </c>
      <c r="O92">
        <v>9.5608391423853156</v>
      </c>
    </row>
    <row r="93" spans="1:15" ht="15" customHeight="1" x14ac:dyDescent="0.3">
      <c r="A93" t="s">
        <v>100</v>
      </c>
      <c r="B93" s="6">
        <v>46192</v>
      </c>
      <c r="C93" t="s">
        <v>91</v>
      </c>
      <c r="D93" t="s">
        <v>64</v>
      </c>
      <c r="E93" t="s">
        <v>65</v>
      </c>
      <c r="F93" t="s">
        <v>66</v>
      </c>
      <c r="G93" t="s">
        <v>67</v>
      </c>
      <c r="H93" t="b">
        <f t="shared" si="2"/>
        <v>0</v>
      </c>
      <c r="I93">
        <v>2700</v>
      </c>
      <c r="J93">
        <v>2702.0847893276932</v>
      </c>
      <c r="K93">
        <v>3.6477848719766814E-11</v>
      </c>
      <c r="L93" s="9">
        <f>MAX('[1]Throttle_%'!B93:AE93)</f>
        <v>9.5353359829097819</v>
      </c>
      <c r="M93">
        <f>SUM([2]Core_mCPU!B93:I93)</f>
        <v>0</v>
      </c>
      <c r="N93">
        <f>SUM([1]Core_mCPU!B93:I93)</f>
        <v>9731.4442411332329</v>
      </c>
      <c r="O93">
        <v>11.186774371966004</v>
      </c>
    </row>
    <row r="94" spans="1:15" ht="15" customHeight="1" x14ac:dyDescent="0.3">
      <c r="A94" t="s">
        <v>101</v>
      </c>
      <c r="B94" s="6">
        <v>46192</v>
      </c>
      <c r="C94" t="s">
        <v>91</v>
      </c>
      <c r="D94" t="s">
        <v>64</v>
      </c>
      <c r="E94" t="s">
        <v>65</v>
      </c>
      <c r="F94" t="s">
        <v>66</v>
      </c>
      <c r="G94" t="s">
        <v>67</v>
      </c>
      <c r="H94" t="b">
        <f t="shared" si="2"/>
        <v>0</v>
      </c>
      <c r="I94">
        <v>3000</v>
      </c>
      <c r="J94">
        <v>2998.9051789794362</v>
      </c>
      <c r="K94">
        <v>5.0948694014573669E-8</v>
      </c>
      <c r="L94" s="9">
        <f>MAX('[1]Throttle_%'!B94:AE94)</f>
        <v>10.622770601894331</v>
      </c>
      <c r="M94">
        <f>SUM([2]Core_mCPU!B94:I94)</f>
        <v>0</v>
      </c>
      <c r="N94">
        <f>SUM([1]Core_mCPU!B94:I94)</f>
        <v>10333.72966093785</v>
      </c>
      <c r="O94">
        <v>15.053989786019514</v>
      </c>
    </row>
    <row r="95" spans="1:15" ht="15" customHeight="1" x14ac:dyDescent="0.3">
      <c r="A95" t="s">
        <v>102</v>
      </c>
      <c r="B95" s="6">
        <v>46195</v>
      </c>
      <c r="C95" t="s">
        <v>15</v>
      </c>
      <c r="D95" t="s">
        <v>64</v>
      </c>
      <c r="E95" t="s">
        <v>65</v>
      </c>
      <c r="F95" t="s">
        <v>66</v>
      </c>
      <c r="G95" t="s">
        <v>67</v>
      </c>
      <c r="H95" t="b">
        <f t="shared" si="2"/>
        <v>0</v>
      </c>
      <c r="I95">
        <v>1</v>
      </c>
      <c r="J95">
        <v>1</v>
      </c>
      <c r="K95">
        <v>0</v>
      </c>
      <c r="L95" s="9">
        <f>MAX('[1]Throttle_%'!B95:AE95)</f>
        <v>10.507574781623461</v>
      </c>
      <c r="M95">
        <f>SUM([2]Core_mCPU!B95:I95)</f>
        <v>0</v>
      </c>
      <c r="N95">
        <f>SUM([1]Core_mCPU!B95:I95)</f>
        <v>3254.5691740272123</v>
      </c>
      <c r="O95">
        <v>36.896666666666668</v>
      </c>
    </row>
    <row r="96" spans="1:15" ht="15" customHeight="1" x14ac:dyDescent="0.3">
      <c r="A96" t="s">
        <v>103</v>
      </c>
      <c r="B96" s="6">
        <v>46196</v>
      </c>
      <c r="C96" t="s">
        <v>15</v>
      </c>
      <c r="D96" t="s">
        <v>64</v>
      </c>
      <c r="E96" t="s">
        <v>65</v>
      </c>
      <c r="F96" t="s">
        <v>66</v>
      </c>
      <c r="G96" t="s">
        <v>67</v>
      </c>
      <c r="H96" t="b">
        <f t="shared" si="2"/>
        <v>0</v>
      </c>
      <c r="I96">
        <v>300</v>
      </c>
      <c r="J96">
        <v>299.99966666888889</v>
      </c>
      <c r="K96">
        <v>5.6111147685437715E-12</v>
      </c>
      <c r="L96" s="9">
        <f>MAX('[1]Throttle_%'!B96:AE96)</f>
        <v>9.1263693846389966</v>
      </c>
      <c r="M96">
        <f>SUM([2]Core_mCPU!B96:I96)</f>
        <v>0</v>
      </c>
      <c r="N96">
        <f>SUM([1]Core_mCPU!B96:I96)</f>
        <v>6072.0749360627997</v>
      </c>
      <c r="O96">
        <v>26.948238601325563</v>
      </c>
    </row>
    <row r="97" spans="1:15" ht="15" customHeight="1" x14ac:dyDescent="0.3">
      <c r="A97" t="s">
        <v>104</v>
      </c>
      <c r="B97" s="6">
        <v>46195</v>
      </c>
      <c r="C97" t="s">
        <v>15</v>
      </c>
      <c r="D97" t="s">
        <v>64</v>
      </c>
      <c r="E97" t="s">
        <v>65</v>
      </c>
      <c r="F97" t="s">
        <v>66</v>
      </c>
      <c r="G97" t="s">
        <v>67</v>
      </c>
      <c r="H97" t="b">
        <f t="shared" si="2"/>
        <v>0</v>
      </c>
      <c r="I97">
        <v>600</v>
      </c>
      <c r="J97">
        <v>599.99833336111067</v>
      </c>
      <c r="K97">
        <v>1.9639038087229979E-11</v>
      </c>
      <c r="L97" s="9">
        <f>MAX('[1]Throttle_%'!B97:AE97)</f>
        <v>10.525548038958679</v>
      </c>
      <c r="M97">
        <f>SUM([2]Core_mCPU!B97:I97)</f>
        <v>0</v>
      </c>
      <c r="N97">
        <f>SUM([1]Core_mCPU!B97:I97)</f>
        <v>7545.970646163305</v>
      </c>
      <c r="O97">
        <v>26.516697314985084</v>
      </c>
    </row>
    <row r="98" spans="1:15" ht="15" customHeight="1" x14ac:dyDescent="0.3">
      <c r="A98" t="s">
        <v>105</v>
      </c>
      <c r="B98" s="6">
        <v>46196</v>
      </c>
      <c r="C98" t="s">
        <v>15</v>
      </c>
      <c r="D98" t="s">
        <v>64</v>
      </c>
      <c r="E98" t="s">
        <v>65</v>
      </c>
      <c r="F98" t="s">
        <v>66</v>
      </c>
      <c r="G98" t="s">
        <v>67</v>
      </c>
      <c r="H98" t="b">
        <f t="shared" si="2"/>
        <v>0</v>
      </c>
      <c r="I98">
        <v>900</v>
      </c>
      <c r="J98">
        <v>899.98900025666069</v>
      </c>
      <c r="K98">
        <v>2.5249968120169495E-11</v>
      </c>
      <c r="L98" s="9">
        <f>MAX('[1]Throttle_%'!B98:AE98)</f>
        <v>9.5931623092489993</v>
      </c>
      <c r="M98">
        <f>SUM([2]Core_mCPU!B98:I98)</f>
        <v>0</v>
      </c>
      <c r="N98">
        <f>SUM([1]Core_mCPU!B98:I98)</f>
        <v>9150.061030511597</v>
      </c>
      <c r="O98">
        <v>26.00205927069965</v>
      </c>
    </row>
    <row r="99" spans="1:15" ht="15" customHeight="1" x14ac:dyDescent="0.3">
      <c r="A99" t="s">
        <v>106</v>
      </c>
      <c r="B99" s="6">
        <v>46195</v>
      </c>
      <c r="C99" t="s">
        <v>15</v>
      </c>
      <c r="D99" t="s">
        <v>64</v>
      </c>
      <c r="E99" t="s">
        <v>65</v>
      </c>
      <c r="F99" t="s">
        <v>66</v>
      </c>
      <c r="G99" t="s">
        <v>67</v>
      </c>
      <c r="H99" t="b">
        <f t="shared" si="2"/>
        <v>0</v>
      </c>
      <c r="I99">
        <v>1200</v>
      </c>
      <c r="J99">
        <v>1199.9960000466663</v>
      </c>
      <c r="K99">
        <v>1.1222340990054412E-11</v>
      </c>
      <c r="L99" s="9">
        <f>MAX('[1]Throttle_%'!B99:AE99)</f>
        <v>9.590960729103001</v>
      </c>
      <c r="M99">
        <f>SUM([2]Core_mCPU!B99:I99)</f>
        <v>0</v>
      </c>
      <c r="N99">
        <f>SUM([1]Core_mCPU!B99:I99)</f>
        <v>10180.647353598593</v>
      </c>
      <c r="O99">
        <v>26.235484068099812</v>
      </c>
    </row>
    <row r="100" spans="1:15" ht="15" customHeight="1" x14ac:dyDescent="0.3">
      <c r="A100" t="s">
        <v>107</v>
      </c>
      <c r="B100" s="6">
        <v>46196</v>
      </c>
      <c r="C100" t="s">
        <v>15</v>
      </c>
      <c r="D100" t="s">
        <v>64</v>
      </c>
      <c r="E100" t="s">
        <v>65</v>
      </c>
      <c r="F100" t="s">
        <v>66</v>
      </c>
      <c r="G100" t="s">
        <v>67</v>
      </c>
      <c r="H100" t="b">
        <f t="shared" si="2"/>
        <v>0</v>
      </c>
      <c r="I100">
        <v>1500</v>
      </c>
      <c r="J100">
        <v>1499.9283333333333</v>
      </c>
      <c r="K100">
        <v>5.6110970491302928E-11</v>
      </c>
      <c r="L100" s="9">
        <f>MAX('[1]Throttle_%'!B100:AE100)</f>
        <v>9.4233297852357403</v>
      </c>
      <c r="M100">
        <f>SUM([2]Core_mCPU!B100:I100)</f>
        <v>0</v>
      </c>
      <c r="N100">
        <f>SUM([1]Core_mCPU!B100:I100)</f>
        <v>11501.112306941237</v>
      </c>
      <c r="O100">
        <v>27.16823510979102</v>
      </c>
    </row>
    <row r="101" spans="1:15" ht="15" customHeight="1" x14ac:dyDescent="0.3">
      <c r="A101" t="s">
        <v>108</v>
      </c>
      <c r="B101" s="6">
        <v>46195</v>
      </c>
      <c r="C101" t="s">
        <v>15</v>
      </c>
      <c r="D101" t="s">
        <v>64</v>
      </c>
      <c r="E101" t="s">
        <v>65</v>
      </c>
      <c r="F101" t="s">
        <v>66</v>
      </c>
      <c r="G101" t="s">
        <v>67</v>
      </c>
      <c r="H101" t="b">
        <f t="shared" si="2"/>
        <v>0</v>
      </c>
      <c r="I101">
        <v>1800</v>
      </c>
      <c r="J101">
        <v>1799.8286698077202</v>
      </c>
      <c r="K101">
        <v>7.8556029830109569E-11</v>
      </c>
      <c r="L101" s="9">
        <f>MAX('[1]Throttle_%'!B101:AE101)</f>
        <v>10.39217784595216</v>
      </c>
      <c r="M101">
        <f>SUM([2]Core_mCPU!B101:I101)</f>
        <v>0</v>
      </c>
      <c r="N101">
        <f>SUM([1]Core_mCPU!B101:I101)</f>
        <v>12500.511418817259</v>
      </c>
      <c r="O101">
        <v>30.279342599100463</v>
      </c>
    </row>
    <row r="102" spans="1:15" ht="15" customHeight="1" x14ac:dyDescent="0.3">
      <c r="A102" t="s">
        <v>109</v>
      </c>
      <c r="B102" s="6">
        <v>46196</v>
      </c>
      <c r="C102" t="s">
        <v>15</v>
      </c>
      <c r="D102" t="s">
        <v>64</v>
      </c>
      <c r="E102" t="s">
        <v>65</v>
      </c>
      <c r="F102" t="s">
        <v>66</v>
      </c>
      <c r="G102" t="s">
        <v>67</v>
      </c>
      <c r="H102" t="b">
        <f t="shared" si="2"/>
        <v>0</v>
      </c>
      <c r="I102">
        <v>2100</v>
      </c>
      <c r="J102">
        <v>2097.196881447278</v>
      </c>
      <c r="K102">
        <v>1.2403461808987431E-10</v>
      </c>
      <c r="L102" s="9">
        <f>MAX('[1]Throttle_%'!B102:AE102)</f>
        <v>10.68340599598417</v>
      </c>
      <c r="M102">
        <f>SUM([2]Core_mCPU!B102:I102)</f>
        <v>0</v>
      </c>
      <c r="N102">
        <f>SUM([1]Core_mCPU!B102:I102)</f>
        <v>13342.911130073458</v>
      </c>
      <c r="O102">
        <v>33.25844315224402</v>
      </c>
    </row>
    <row r="103" spans="1:15" ht="15" customHeight="1" x14ac:dyDescent="0.3">
      <c r="A103" t="s">
        <v>110</v>
      </c>
      <c r="B103" s="6">
        <v>46195</v>
      </c>
      <c r="C103" t="s">
        <v>15</v>
      </c>
      <c r="D103" t="s">
        <v>64</v>
      </c>
      <c r="E103" t="s">
        <v>65</v>
      </c>
      <c r="F103" t="s">
        <v>66</v>
      </c>
      <c r="G103" t="s">
        <v>67</v>
      </c>
      <c r="H103" t="b">
        <f t="shared" si="2"/>
        <v>0</v>
      </c>
      <c r="I103">
        <v>2400</v>
      </c>
      <c r="J103">
        <v>2383.7354042302895</v>
      </c>
      <c r="K103">
        <v>6.6799761152807132E-11</v>
      </c>
      <c r="L103" s="9">
        <f>MAX('[1]Throttle_%'!B103:AE103)</f>
        <v>9.2900330592109324</v>
      </c>
      <c r="M103">
        <f>SUM([2]Core_mCPU!B103:I103)</f>
        <v>0</v>
      </c>
      <c r="N103">
        <f>SUM([1]Core_mCPU!B103:I103)</f>
        <v>14134.613547185649</v>
      </c>
      <c r="O103">
        <v>38.101793483915202</v>
      </c>
    </row>
    <row r="104" spans="1:15" ht="15" customHeight="1" x14ac:dyDescent="0.3">
      <c r="A104" t="s">
        <v>111</v>
      </c>
      <c r="B104" s="6">
        <v>46196</v>
      </c>
      <c r="C104" t="s">
        <v>15</v>
      </c>
      <c r="D104" t="s">
        <v>64</v>
      </c>
      <c r="E104" t="s">
        <v>65</v>
      </c>
      <c r="F104" t="s">
        <v>66</v>
      </c>
      <c r="G104" t="s">
        <v>67</v>
      </c>
      <c r="H104" t="b">
        <f t="shared" si="2"/>
        <v>0</v>
      </c>
      <c r="I104">
        <v>2700</v>
      </c>
      <c r="J104">
        <v>2658.0673155783306</v>
      </c>
      <c r="K104">
        <v>3.339930198442828E-10</v>
      </c>
      <c r="L104" s="9">
        <f>MAX('[1]Throttle_%'!B104:AE104)</f>
        <v>10.841293988183791</v>
      </c>
      <c r="M104">
        <f>SUM([2]Core_mCPU!B104:I104)</f>
        <v>0</v>
      </c>
      <c r="N104">
        <f>SUM([1]Core_mCPU!B104:I104)</f>
        <v>14635.265060571244</v>
      </c>
      <c r="O104">
        <v>43.298047977112979</v>
      </c>
    </row>
    <row r="105" spans="1:15" ht="15" customHeight="1" x14ac:dyDescent="0.3">
      <c r="A105" t="s">
        <v>112</v>
      </c>
      <c r="B105" s="6">
        <v>46196</v>
      </c>
      <c r="C105" t="s">
        <v>15</v>
      </c>
      <c r="D105" t="s">
        <v>64</v>
      </c>
      <c r="E105" t="s">
        <v>65</v>
      </c>
      <c r="F105" t="s">
        <v>66</v>
      </c>
      <c r="G105" t="s">
        <v>67</v>
      </c>
      <c r="H105" t="b">
        <f t="shared" si="2"/>
        <v>0</v>
      </c>
      <c r="I105">
        <v>3000</v>
      </c>
      <c r="J105">
        <v>2934.9543145070738</v>
      </c>
      <c r="K105">
        <v>4.0163919937401E-10</v>
      </c>
      <c r="L105" s="9">
        <f>MAX('[1]Throttle_%'!B105:AE105)</f>
        <v>10.172195782989718</v>
      </c>
      <c r="M105">
        <f>SUM([2]Core_mCPU!B105:I105)</f>
        <v>0</v>
      </c>
      <c r="N105">
        <f>SUM([1]Core_mCPU!B105:I105)</f>
        <v>15549.704310548603</v>
      </c>
      <c r="O105">
        <v>45.585986712826433</v>
      </c>
    </row>
    <row r="106" spans="1:15" ht="15" customHeight="1" x14ac:dyDescent="0.3">
      <c r="A106" t="s">
        <v>113</v>
      </c>
      <c r="B106" s="6">
        <v>46196</v>
      </c>
      <c r="C106" t="s">
        <v>15</v>
      </c>
      <c r="D106" t="s">
        <v>64</v>
      </c>
      <c r="E106" t="s">
        <v>65</v>
      </c>
      <c r="F106" t="s">
        <v>66</v>
      </c>
      <c r="G106" t="s">
        <v>67</v>
      </c>
      <c r="H106" t="b">
        <f t="shared" si="2"/>
        <v>0</v>
      </c>
      <c r="I106">
        <v>3300</v>
      </c>
      <c r="J106">
        <v>3182.3625180262529</v>
      </c>
      <c r="K106">
        <v>1.1222151189130805E-10</v>
      </c>
      <c r="L106" s="9">
        <f>MAX('[1]Throttle_%'!B106:AE106)</f>
        <v>9.9055366430771468</v>
      </c>
      <c r="M106">
        <f>SUM([2]Core_mCPU!B106:I106)</f>
        <v>0</v>
      </c>
      <c r="N106">
        <f>SUM([1]Core_mCPU!B106:I106)</f>
        <v>16008.221179230706</v>
      </c>
      <c r="O106">
        <v>49.969192602740485</v>
      </c>
    </row>
    <row r="107" spans="1:15" ht="15" customHeight="1" x14ac:dyDescent="0.3">
      <c r="A107" t="s">
        <v>114</v>
      </c>
      <c r="B107" s="6">
        <v>46195</v>
      </c>
      <c r="C107" t="s">
        <v>15</v>
      </c>
      <c r="D107" t="s">
        <v>64</v>
      </c>
      <c r="E107" t="s">
        <v>65</v>
      </c>
      <c r="F107" t="s">
        <v>66</v>
      </c>
      <c r="G107" t="s">
        <v>67</v>
      </c>
      <c r="H107" t="b">
        <f t="shared" si="2"/>
        <v>0</v>
      </c>
      <c r="I107">
        <v>3600</v>
      </c>
      <c r="J107">
        <v>3433.2445005975969</v>
      </c>
      <c r="K107">
        <v>5.074093580470789E-9</v>
      </c>
      <c r="L107" s="9">
        <f>MAX('[1]Throttle_%'!B107:AE107)</f>
        <v>9.6539941057404928</v>
      </c>
      <c r="M107">
        <f>SUM([2]Core_mCPU!B107:I107)</f>
        <v>0</v>
      </c>
      <c r="N107">
        <f>SUM([1]Core_mCPU!B107:I107)</f>
        <v>16605.731056868863</v>
      </c>
      <c r="O107">
        <v>51.461435345681231</v>
      </c>
    </row>
    <row r="108" spans="1:15" ht="15" customHeight="1" x14ac:dyDescent="0.3">
      <c r="A108" t="s">
        <v>115</v>
      </c>
      <c r="B108" s="6">
        <v>46196</v>
      </c>
      <c r="C108" t="s">
        <v>15</v>
      </c>
      <c r="D108" t="s">
        <v>64</v>
      </c>
      <c r="E108" t="s">
        <v>65</v>
      </c>
      <c r="F108" t="s">
        <v>66</v>
      </c>
      <c r="G108" t="s">
        <v>67</v>
      </c>
      <c r="H108" t="b">
        <f t="shared" si="2"/>
        <v>0</v>
      </c>
      <c r="I108">
        <v>4200</v>
      </c>
      <c r="J108">
        <v>3818.8913760603205</v>
      </c>
      <c r="K108">
        <v>6.4808498531559947E-10</v>
      </c>
      <c r="L108" s="9">
        <f>MAX('[1]Throttle_%'!B108:AE108)</f>
        <v>10.283028314920795</v>
      </c>
      <c r="M108">
        <f>SUM([2]Core_mCPU!B108:I108)</f>
        <v>0</v>
      </c>
      <c r="N108">
        <f>SUM([1]Core_mCPU!B108:I108)</f>
        <v>17720.614673732627</v>
      </c>
      <c r="O108">
        <v>53.601333715570284</v>
      </c>
    </row>
    <row r="109" spans="1:15" ht="15" customHeight="1" x14ac:dyDescent="0.3">
      <c r="A109" t="s">
        <v>116</v>
      </c>
      <c r="B109" s="6">
        <v>46195</v>
      </c>
      <c r="C109" t="s">
        <v>15</v>
      </c>
      <c r="D109" t="s">
        <v>64</v>
      </c>
      <c r="E109" t="s">
        <v>65</v>
      </c>
      <c r="F109" t="s">
        <v>66</v>
      </c>
      <c r="G109" t="s">
        <v>67</v>
      </c>
      <c r="H109" t="b">
        <f t="shared" si="2"/>
        <v>0</v>
      </c>
      <c r="I109">
        <v>5000</v>
      </c>
      <c r="J109">
        <v>4356.0486370817753</v>
      </c>
      <c r="K109">
        <v>3.8717196210966085E-9</v>
      </c>
      <c r="L109" s="9">
        <f>MAX('[1]Throttle_%'!B109:AE109)</f>
        <v>9.6113687430992343</v>
      </c>
      <c r="M109">
        <f>SUM([2]Core_mCPU!B109:I109)</f>
        <v>0</v>
      </c>
      <c r="N109">
        <f>SUM([1]Core_mCPU!B109:I109)</f>
        <v>18489.266620444087</v>
      </c>
      <c r="O109">
        <v>56.939752856179325</v>
      </c>
    </row>
    <row r="110" spans="1:15" ht="15" customHeight="1" x14ac:dyDescent="0.3">
      <c r="A110" t="s">
        <v>117</v>
      </c>
      <c r="B110" s="6">
        <v>46198</v>
      </c>
      <c r="C110" t="s">
        <v>118</v>
      </c>
      <c r="D110" t="s">
        <v>64</v>
      </c>
      <c r="E110" t="s">
        <v>65</v>
      </c>
      <c r="F110" t="s">
        <v>66</v>
      </c>
      <c r="G110" t="s">
        <v>67</v>
      </c>
      <c r="H110" t="b">
        <f t="shared" si="2"/>
        <v>0</v>
      </c>
      <c r="I110">
        <v>1</v>
      </c>
      <c r="J110">
        <v>1</v>
      </c>
      <c r="K110">
        <v>0</v>
      </c>
      <c r="L110" s="9">
        <f>MAX('[1]Throttle_%'!B110:AE110)</f>
        <v>9.6960770175378794</v>
      </c>
      <c r="M110">
        <f>SUM([2]Core_mCPU!B110:I110)</f>
        <v>0</v>
      </c>
      <c r="N110">
        <f>SUM([1]Core_mCPU!B110:I110)</f>
        <v>1095.2068056269914</v>
      </c>
      <c r="O110">
        <v>37.836666666666666</v>
      </c>
    </row>
    <row r="111" spans="1:15" ht="15" customHeight="1" x14ac:dyDescent="0.3">
      <c r="A111" t="s">
        <v>119</v>
      </c>
      <c r="B111" s="6">
        <v>46198</v>
      </c>
      <c r="C111" t="s">
        <v>118</v>
      </c>
      <c r="D111" t="s">
        <v>64</v>
      </c>
      <c r="E111" t="s">
        <v>65</v>
      </c>
      <c r="F111" t="s">
        <v>66</v>
      </c>
      <c r="G111" t="s">
        <v>67</v>
      </c>
      <c r="H111" t="b">
        <f t="shared" si="2"/>
        <v>0</v>
      </c>
      <c r="I111">
        <v>300</v>
      </c>
      <c r="J111">
        <v>299.9998333352778</v>
      </c>
      <c r="K111">
        <v>5.6103734324935435E-12</v>
      </c>
      <c r="L111" s="9">
        <f>MAX('[1]Throttle_%'!B111:AE111)</f>
        <v>10.304474198182181</v>
      </c>
      <c r="M111">
        <f>SUM([2]Core_mCPU!B111:I111)</f>
        <v>0</v>
      </c>
      <c r="N111">
        <f>SUM([1]Core_mCPU!B111:I111)</f>
        <v>4427.9343651310646</v>
      </c>
      <c r="O111">
        <v>28.46971111111111</v>
      </c>
    </row>
    <row r="112" spans="1:15" ht="15" customHeight="1" x14ac:dyDescent="0.3">
      <c r="A112" t="s">
        <v>120</v>
      </c>
      <c r="B112" s="6">
        <v>46198</v>
      </c>
      <c r="C112" t="s">
        <v>118</v>
      </c>
      <c r="D112" t="s">
        <v>64</v>
      </c>
      <c r="E112" t="s">
        <v>65</v>
      </c>
      <c r="F112" t="s">
        <v>66</v>
      </c>
      <c r="G112" t="s">
        <v>67</v>
      </c>
      <c r="H112" t="b">
        <f t="shared" si="2"/>
        <v>0</v>
      </c>
      <c r="I112">
        <v>600</v>
      </c>
      <c r="J112">
        <v>599.88466705110989</v>
      </c>
      <c r="K112">
        <v>2.805182780090839E-12</v>
      </c>
      <c r="L112" s="9">
        <f>MAX('[1]Throttle_%'!B112:AE112)</f>
        <v>9.7175626551782255</v>
      </c>
      <c r="M112">
        <f>SUM([2]Core_mCPU!B112:I112)</f>
        <v>0</v>
      </c>
      <c r="N112">
        <f>SUM([1]Core_mCPU!B112:I112)</f>
        <v>6404.4052960602221</v>
      </c>
      <c r="O112">
        <v>30.090378433644226</v>
      </c>
    </row>
    <row r="113" spans="1:15" ht="15" customHeight="1" x14ac:dyDescent="0.3">
      <c r="A113" t="s">
        <v>121</v>
      </c>
      <c r="B113" s="6">
        <v>46198</v>
      </c>
      <c r="C113" t="s">
        <v>118</v>
      </c>
      <c r="D113" t="s">
        <v>64</v>
      </c>
      <c r="E113" t="s">
        <v>65</v>
      </c>
      <c r="F113" t="s">
        <v>66</v>
      </c>
      <c r="G113" t="s">
        <v>67</v>
      </c>
      <c r="H113" t="b">
        <f t="shared" si="2"/>
        <v>0</v>
      </c>
      <c r="I113">
        <v>900</v>
      </c>
      <c r="J113">
        <v>898.80282547192621</v>
      </c>
      <c r="K113">
        <v>2.8051797103788845E-11</v>
      </c>
      <c r="L113" s="9">
        <f>MAX('[1]Throttle_%'!B113:AE113)</f>
        <v>10.235424804589057</v>
      </c>
      <c r="M113">
        <f>SUM([2]Core_mCPU!B113:I113)</f>
        <v>0</v>
      </c>
      <c r="N113">
        <f>SUM([1]Core_mCPU!B113:I113)</f>
        <v>7595.307177983952</v>
      </c>
      <c r="O113">
        <v>46.40827796512081</v>
      </c>
    </row>
    <row r="114" spans="1:15" ht="15" customHeight="1" x14ac:dyDescent="0.3">
      <c r="A114" t="s">
        <v>122</v>
      </c>
      <c r="B114" s="6">
        <v>46198</v>
      </c>
      <c r="C114" t="s">
        <v>118</v>
      </c>
      <c r="D114" t="s">
        <v>64</v>
      </c>
      <c r="E114" t="s">
        <v>65</v>
      </c>
      <c r="F114" t="s">
        <v>66</v>
      </c>
      <c r="G114" t="s">
        <v>67</v>
      </c>
      <c r="H114" t="b">
        <f t="shared" si="2"/>
        <v>0</v>
      </c>
      <c r="I114">
        <v>1200</v>
      </c>
      <c r="J114">
        <v>1195.1216666666667</v>
      </c>
      <c r="K114">
        <v>8.6960464371283145E-11</v>
      </c>
      <c r="L114" s="9">
        <f>MAX('[1]Throttle_%'!B114:AE114)</f>
        <v>9.7157010546733051</v>
      </c>
      <c r="M114">
        <f>SUM([2]Core_mCPU!B114:I114)</f>
        <v>0</v>
      </c>
      <c r="N114">
        <f>SUM([1]Core_mCPU!B114:I114)</f>
        <v>8503.5453856860804</v>
      </c>
      <c r="O114">
        <v>43.821548807461767</v>
      </c>
    </row>
    <row r="115" spans="1:15" ht="15" customHeight="1" x14ac:dyDescent="0.3">
      <c r="A115" t="s">
        <v>123</v>
      </c>
      <c r="B115" s="6">
        <v>46198</v>
      </c>
      <c r="C115" t="s">
        <v>118</v>
      </c>
      <c r="D115" t="s">
        <v>64</v>
      </c>
      <c r="E115" t="s">
        <v>65</v>
      </c>
      <c r="F115" t="s">
        <v>66</v>
      </c>
      <c r="G115" t="s">
        <v>67</v>
      </c>
      <c r="H115" t="b">
        <f t="shared" si="2"/>
        <v>0</v>
      </c>
      <c r="I115">
        <v>1500</v>
      </c>
      <c r="J115">
        <v>1476.1642858452374</v>
      </c>
      <c r="K115">
        <v>8.9765508763523179E-11</v>
      </c>
      <c r="L115" s="9">
        <f>MAX('[1]Throttle_%'!B115:AE115)</f>
        <v>10.928025979665156</v>
      </c>
      <c r="M115">
        <f>SUM([2]Core_mCPU!B115:I115)</f>
        <v>0</v>
      </c>
      <c r="N115">
        <f>SUM([1]Core_mCPU!B115:I115)</f>
        <v>9597.3261839881143</v>
      </c>
      <c r="O115">
        <v>51.34806717166984</v>
      </c>
    </row>
    <row r="116" spans="1:15" ht="15" customHeight="1" x14ac:dyDescent="0.3">
      <c r="A116" t="s">
        <v>124</v>
      </c>
      <c r="B116" s="6">
        <v>46198</v>
      </c>
      <c r="C116" t="s">
        <v>118</v>
      </c>
      <c r="D116" t="s">
        <v>64</v>
      </c>
      <c r="E116" t="s">
        <v>65</v>
      </c>
      <c r="F116" t="s">
        <v>66</v>
      </c>
      <c r="G116" t="s">
        <v>67</v>
      </c>
      <c r="H116" t="b">
        <f t="shared" si="2"/>
        <v>0</v>
      </c>
      <c r="I116">
        <v>1800</v>
      </c>
      <c r="J116">
        <v>1743.7901742709519</v>
      </c>
      <c r="K116">
        <v>7.0867409923751035E-11</v>
      </c>
      <c r="L116" s="9">
        <f>MAX('[1]Throttle_%'!B116:AE116)</f>
        <v>9.8742457869667799</v>
      </c>
      <c r="M116">
        <f>SUM([2]Core_mCPU!B116:I116)</f>
        <v>0</v>
      </c>
      <c r="N116">
        <f>SUM([1]Core_mCPU!B116:I116)</f>
        <v>10379.568579894234</v>
      </c>
      <c r="O116">
        <v>57.558157801430909</v>
      </c>
    </row>
    <row r="117" spans="1:15" ht="15" customHeight="1" x14ac:dyDescent="0.3">
      <c r="A117" t="s">
        <v>125</v>
      </c>
      <c r="B117" s="6">
        <v>46198</v>
      </c>
      <c r="C117" t="s">
        <v>118</v>
      </c>
      <c r="D117" t="s">
        <v>64</v>
      </c>
      <c r="E117" t="s">
        <v>65</v>
      </c>
      <c r="F117" t="s">
        <v>66</v>
      </c>
      <c r="G117" t="s">
        <v>67</v>
      </c>
      <c r="H117" t="b">
        <f t="shared" si="2"/>
        <v>0</v>
      </c>
      <c r="I117">
        <v>2100</v>
      </c>
      <c r="J117">
        <v>2030.8019180279318</v>
      </c>
      <c r="K117">
        <v>5.8908441879389078E-11</v>
      </c>
      <c r="L117" s="9">
        <f>MAX('[1]Throttle_%'!B117:AE117)</f>
        <v>9.3443058307087288</v>
      </c>
      <c r="M117">
        <f>SUM([2]Core_mCPU!B117:I117)</f>
        <v>0</v>
      </c>
      <c r="N117">
        <f>SUM([1]Core_mCPU!B117:I117)</f>
        <v>11089.767709671942</v>
      </c>
      <c r="O117">
        <v>55.328220652815098</v>
      </c>
    </row>
    <row r="118" spans="1:15" ht="15" customHeight="1" x14ac:dyDescent="0.3">
      <c r="A118" t="s">
        <v>126</v>
      </c>
      <c r="B118" s="6">
        <v>46199</v>
      </c>
      <c r="C118" t="s">
        <v>118</v>
      </c>
      <c r="D118" t="s">
        <v>64</v>
      </c>
      <c r="E118" t="s">
        <v>65</v>
      </c>
      <c r="F118" t="s">
        <v>66</v>
      </c>
      <c r="G118" t="s">
        <v>67</v>
      </c>
      <c r="H118" t="b">
        <f t="shared" si="2"/>
        <v>0</v>
      </c>
      <c r="I118">
        <v>2400</v>
      </c>
      <c r="J118">
        <v>2293.9047053446016</v>
      </c>
      <c r="K118">
        <v>1.0940125117508279E-10</v>
      </c>
      <c r="L118" s="9">
        <f>MAX('[1]Throttle_%'!B118:AE118)</f>
        <v>10.050061682766051</v>
      </c>
      <c r="M118">
        <f>SUM([2]Core_mCPU!B118:I118)</f>
        <v>0</v>
      </c>
      <c r="N118">
        <f>SUM([1]Core_mCPU!B118:I118)</f>
        <v>11889.975047330652</v>
      </c>
      <c r="O118">
        <v>56.665341122722147</v>
      </c>
    </row>
    <row r="119" spans="1:15" ht="15" customHeight="1" x14ac:dyDescent="0.3">
      <c r="A119" t="s">
        <v>127</v>
      </c>
      <c r="B119" s="6">
        <v>46199</v>
      </c>
      <c r="C119" t="s">
        <v>118</v>
      </c>
      <c r="D119" t="s">
        <v>64</v>
      </c>
      <c r="E119" t="s">
        <v>65</v>
      </c>
      <c r="F119" t="s">
        <v>66</v>
      </c>
      <c r="G119" t="s">
        <v>67</v>
      </c>
      <c r="H119" t="b">
        <f t="shared" si="2"/>
        <v>0</v>
      </c>
      <c r="I119">
        <v>2700</v>
      </c>
      <c r="J119">
        <v>2552.0273835025205</v>
      </c>
      <c r="K119">
        <v>4.327953349312876E-10</v>
      </c>
      <c r="L119" s="9">
        <f>MAX('[1]Throttle_%'!B119:AE119)</f>
        <v>9.6063265070912074</v>
      </c>
      <c r="M119">
        <f>SUM([2]Core_mCPU!B119:I119)</f>
        <v>0</v>
      </c>
      <c r="N119">
        <f>SUM([1]Core_mCPU!B119:I119)</f>
        <v>12605.946229865605</v>
      </c>
      <c r="O119">
        <v>54.208368726133216</v>
      </c>
    </row>
    <row r="120" spans="1:15" ht="15" customHeight="1" x14ac:dyDescent="0.3">
      <c r="A120" t="s">
        <v>128</v>
      </c>
      <c r="B120" s="6">
        <v>46199</v>
      </c>
      <c r="C120" t="s">
        <v>118</v>
      </c>
      <c r="D120" t="s">
        <v>64</v>
      </c>
      <c r="E120" t="s">
        <v>65</v>
      </c>
      <c r="F120" t="s">
        <v>66</v>
      </c>
      <c r="G120" t="s">
        <v>67</v>
      </c>
      <c r="H120" t="b">
        <f t="shared" si="2"/>
        <v>0</v>
      </c>
      <c r="I120">
        <v>3000</v>
      </c>
      <c r="J120">
        <v>2781.553260479965</v>
      </c>
      <c r="K120">
        <v>2.075741831385344E-10</v>
      </c>
      <c r="L120" s="9">
        <f>MAX('[1]Throttle_%'!B120:AE120)</f>
        <v>9.8226461579935282</v>
      </c>
      <c r="M120">
        <f>SUM([2]Core_mCPU!B120:I120)</f>
        <v>0</v>
      </c>
      <c r="N120">
        <f>SUM([1]Core_mCPU!B120:I120)</f>
        <v>12756.233289884172</v>
      </c>
      <c r="O120">
        <v>56.965924218367427</v>
      </c>
    </row>
  </sheetData>
  <phoneticPr fontId="3" type="noConversion"/>
  <conditionalFormatting sqref="H2:H6">
    <cfRule type="cellIs" dxfId="5" priority="4" operator="between"/>
  </conditionalFormatting>
  <conditionalFormatting sqref="H51:H61">
    <cfRule type="cellIs" dxfId="4" priority="2" operator="between"/>
  </conditionalFormatting>
  <conditionalFormatting sqref="H7:I50 H121:I5004">
    <cfRule type="cellIs" dxfId="3" priority="6" operator="between"/>
  </conditionalFormatting>
  <conditionalFormatting sqref="H62:I120">
    <cfRule type="cellIs" dxfId="2" priority="1" operator="between"/>
  </conditionalFormatting>
  <conditionalFormatting sqref="I3:I6">
    <cfRule type="cellIs" dxfId="1" priority="5" operator="between"/>
  </conditionalFormatting>
  <conditionalFormatting sqref="I51:I61">
    <cfRule type="cellIs" dxfId="0" priority="3" operator="between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0"/>
  <sheetViews>
    <sheetView topLeftCell="A40" workbookViewId="0">
      <selection activeCell="A2" sqref="A2:A61"/>
    </sheetView>
  </sheetViews>
  <sheetFormatPr defaultRowHeight="14.4" x14ac:dyDescent="0.3"/>
  <cols>
    <col min="1" max="1" width="44.33203125" customWidth="1"/>
    <col min="2" max="2" width="12.6640625" style="3" customWidth="1"/>
    <col min="3" max="31" width="12.6640625" customWidth="1"/>
  </cols>
  <sheetData>
    <row r="1" spans="1:31" x14ac:dyDescent="0.3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</row>
    <row r="2" spans="1:31" x14ac:dyDescent="0.3">
      <c r="A2" t="s">
        <v>201</v>
      </c>
      <c r="B2">
        <v>31.874894043307357</v>
      </c>
      <c r="C2">
        <v>1024.8924838289324</v>
      </c>
      <c r="D2">
        <v>244.75515259952482</v>
      </c>
      <c r="E2">
        <v>128.65741377588239</v>
      </c>
      <c r="F2">
        <v>122.53314407381093</v>
      </c>
      <c r="G2">
        <v>31.915929358078113</v>
      </c>
      <c r="H2">
        <v>595.30587478609675</v>
      </c>
      <c r="I2">
        <v>169.3333590731983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</row>
    <row r="3" spans="1:31" x14ac:dyDescent="0.3">
      <c r="A3" s="5" t="s">
        <v>202</v>
      </c>
      <c r="B3" s="7">
        <v>47.912627354121646</v>
      </c>
      <c r="C3" s="7">
        <v>1299.9968745299384</v>
      </c>
      <c r="D3" s="7">
        <v>316.73267200813814</v>
      </c>
      <c r="E3" s="7">
        <v>178.08660370316139</v>
      </c>
      <c r="F3" s="7">
        <v>174.67387743575276</v>
      </c>
      <c r="G3" s="7">
        <v>37.530619857515397</v>
      </c>
      <c r="H3" s="7">
        <v>563.84677319607431</v>
      </c>
      <c r="I3" s="7">
        <v>164.42716314186737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  <c r="W3" s="7" t="s">
        <v>52</v>
      </c>
      <c r="X3" s="7" t="s">
        <v>52</v>
      </c>
      <c r="Y3" s="7" t="s">
        <v>52</v>
      </c>
      <c r="Z3" s="7" t="s">
        <v>52</v>
      </c>
      <c r="AA3" s="7" t="s">
        <v>52</v>
      </c>
      <c r="AB3" s="7" t="s">
        <v>52</v>
      </c>
      <c r="AC3" s="7" t="s">
        <v>52</v>
      </c>
      <c r="AD3" s="7" t="s">
        <v>52</v>
      </c>
      <c r="AE3" s="7" t="s">
        <v>52</v>
      </c>
    </row>
    <row r="4" spans="1:31" x14ac:dyDescent="0.3">
      <c r="A4" s="5" t="s">
        <v>203</v>
      </c>
      <c r="B4" s="7">
        <v>93.123078229847792</v>
      </c>
      <c r="C4" s="7">
        <v>1524.5982680301822</v>
      </c>
      <c r="D4" s="7">
        <v>524.32554069942273</v>
      </c>
      <c r="E4" s="7">
        <v>261.26951758727506</v>
      </c>
      <c r="F4" s="7">
        <v>266.29077635327599</v>
      </c>
      <c r="G4" s="7">
        <v>55.19125741847003</v>
      </c>
      <c r="H4" s="7">
        <v>557.24361387915485</v>
      </c>
      <c r="I4" s="7">
        <v>167.14693472318615</v>
      </c>
      <c r="J4" s="7" t="s">
        <v>52</v>
      </c>
      <c r="K4" s="7" t="s">
        <v>52</v>
      </c>
      <c r="L4" s="7" t="s">
        <v>52</v>
      </c>
      <c r="M4" s="7" t="s">
        <v>52</v>
      </c>
      <c r="N4" s="7" t="s">
        <v>52</v>
      </c>
      <c r="O4" s="7" t="s">
        <v>52</v>
      </c>
      <c r="P4" s="7" t="s">
        <v>52</v>
      </c>
      <c r="Q4" s="7" t="s">
        <v>52</v>
      </c>
      <c r="R4" s="7" t="s">
        <v>52</v>
      </c>
      <c r="S4" s="7" t="s">
        <v>52</v>
      </c>
      <c r="T4" s="7" t="s">
        <v>52</v>
      </c>
      <c r="U4" s="7" t="s">
        <v>52</v>
      </c>
      <c r="V4" s="7" t="s">
        <v>52</v>
      </c>
      <c r="W4" s="7" t="s">
        <v>52</v>
      </c>
      <c r="X4" s="7" t="s">
        <v>52</v>
      </c>
      <c r="Y4" s="7" t="s">
        <v>52</v>
      </c>
      <c r="Z4" s="7" t="s">
        <v>52</v>
      </c>
      <c r="AA4" s="7" t="s">
        <v>52</v>
      </c>
      <c r="AB4" s="7" t="s">
        <v>52</v>
      </c>
      <c r="AC4" s="7" t="s">
        <v>52</v>
      </c>
      <c r="AD4" s="7" t="s">
        <v>52</v>
      </c>
      <c r="AE4" s="7" t="s">
        <v>52</v>
      </c>
    </row>
    <row r="5" spans="1:31" x14ac:dyDescent="0.3">
      <c r="A5" s="5" t="s">
        <v>204</v>
      </c>
      <c r="B5" s="7">
        <v>140.36784070227986</v>
      </c>
      <c r="C5" s="7">
        <v>1622.1005335856989</v>
      </c>
      <c r="D5" s="7">
        <v>626.07856224772786</v>
      </c>
      <c r="E5" s="7">
        <v>321.32786900557699</v>
      </c>
      <c r="F5" s="7">
        <v>326.26124814264483</v>
      </c>
      <c r="G5" s="7">
        <v>36.662587977995607</v>
      </c>
      <c r="H5" s="7">
        <v>574.97549830207174</v>
      </c>
      <c r="I5" s="7">
        <v>172.09673983344996</v>
      </c>
      <c r="J5" s="7" t="s">
        <v>52</v>
      </c>
      <c r="K5" s="7" t="s">
        <v>52</v>
      </c>
      <c r="L5" s="7" t="s">
        <v>52</v>
      </c>
      <c r="M5" s="7" t="s">
        <v>52</v>
      </c>
      <c r="N5" s="7" t="s">
        <v>52</v>
      </c>
      <c r="O5" s="7" t="s">
        <v>52</v>
      </c>
      <c r="P5" s="7" t="s">
        <v>52</v>
      </c>
      <c r="Q5" s="7" t="s">
        <v>52</v>
      </c>
      <c r="R5" s="7" t="s">
        <v>52</v>
      </c>
      <c r="S5" s="7" t="s">
        <v>52</v>
      </c>
      <c r="T5" s="7" t="s">
        <v>52</v>
      </c>
      <c r="U5" s="7" t="s">
        <v>52</v>
      </c>
      <c r="V5" s="7" t="s">
        <v>52</v>
      </c>
      <c r="W5" s="7" t="s">
        <v>52</v>
      </c>
      <c r="X5" s="7" t="s">
        <v>52</v>
      </c>
      <c r="Y5" s="7" t="s">
        <v>52</v>
      </c>
      <c r="Z5" s="7" t="s">
        <v>52</v>
      </c>
      <c r="AA5" s="7" t="s">
        <v>52</v>
      </c>
      <c r="AB5" s="7" t="s">
        <v>52</v>
      </c>
      <c r="AC5" s="7" t="s">
        <v>52</v>
      </c>
      <c r="AD5" s="7" t="s">
        <v>52</v>
      </c>
      <c r="AE5" s="7" t="s">
        <v>52</v>
      </c>
    </row>
    <row r="6" spans="1:31" x14ac:dyDescent="0.3">
      <c r="A6" s="5" t="s">
        <v>205</v>
      </c>
      <c r="B6" s="7">
        <v>554.24325794932872</v>
      </c>
      <c r="C6" s="7">
        <v>4136.5274569642061</v>
      </c>
      <c r="D6" s="7">
        <v>6532.7363113323336</v>
      </c>
      <c r="E6" s="7">
        <v>3026.7838163241736</v>
      </c>
      <c r="F6" s="7">
        <v>2918.9353720952427</v>
      </c>
      <c r="G6" s="7">
        <v>31.654581476327408</v>
      </c>
      <c r="H6" s="7">
        <v>575.41017213615464</v>
      </c>
      <c r="I6" s="7">
        <v>334.75776822505605</v>
      </c>
      <c r="J6" s="7" t="s">
        <v>52</v>
      </c>
      <c r="K6" s="7" t="s">
        <v>52</v>
      </c>
      <c r="L6" s="7" t="s">
        <v>52</v>
      </c>
      <c r="M6" s="7" t="s">
        <v>52</v>
      </c>
      <c r="N6" s="7" t="s">
        <v>52</v>
      </c>
      <c r="O6" s="7" t="s">
        <v>52</v>
      </c>
      <c r="P6" s="7" t="s">
        <v>52</v>
      </c>
      <c r="Q6" s="7" t="s">
        <v>52</v>
      </c>
      <c r="R6" s="7" t="s">
        <v>52</v>
      </c>
      <c r="S6" s="7" t="s">
        <v>52</v>
      </c>
      <c r="T6" s="7" t="s">
        <v>52</v>
      </c>
      <c r="U6" s="7" t="s">
        <v>52</v>
      </c>
      <c r="V6" s="7" t="s">
        <v>52</v>
      </c>
      <c r="W6" s="7" t="s">
        <v>52</v>
      </c>
      <c r="X6" s="7" t="s">
        <v>52</v>
      </c>
      <c r="Y6" s="7" t="s">
        <v>52</v>
      </c>
      <c r="Z6" s="7" t="s">
        <v>52</v>
      </c>
      <c r="AA6" s="7" t="s">
        <v>52</v>
      </c>
      <c r="AB6" s="7" t="s">
        <v>52</v>
      </c>
      <c r="AC6" s="7" t="s">
        <v>52</v>
      </c>
      <c r="AD6" s="7" t="s">
        <v>52</v>
      </c>
      <c r="AE6" s="7" t="s">
        <v>52</v>
      </c>
    </row>
    <row r="7" spans="1:31" x14ac:dyDescent="0.3">
      <c r="A7" s="5" t="s">
        <v>154</v>
      </c>
      <c r="B7" s="7">
        <v>6.4003346283640576</v>
      </c>
      <c r="C7" s="7">
        <v>201.65730407906571</v>
      </c>
      <c r="D7" s="7">
        <v>10.2787124202853</v>
      </c>
      <c r="E7" s="7">
        <v>15.71706575029736</v>
      </c>
      <c r="F7" s="7">
        <v>17.979111003157421</v>
      </c>
      <c r="G7" s="7">
        <v>27.771281588591041</v>
      </c>
      <c r="H7" s="7">
        <v>499.35976665483759</v>
      </c>
      <c r="I7" s="7">
        <v>140.45775773731151</v>
      </c>
      <c r="J7" s="7" t="s">
        <v>52</v>
      </c>
      <c r="K7" s="7" t="s">
        <v>52</v>
      </c>
      <c r="L7" s="7" t="s">
        <v>52</v>
      </c>
      <c r="M7" s="7" t="s">
        <v>52</v>
      </c>
      <c r="N7" s="7" t="s">
        <v>52</v>
      </c>
      <c r="O7" s="7" t="s">
        <v>52</v>
      </c>
      <c r="P7" s="7" t="s">
        <v>52</v>
      </c>
      <c r="Q7" s="7">
        <v>10.325123551810851</v>
      </c>
      <c r="R7" s="7">
        <v>7.795958560405694</v>
      </c>
      <c r="S7" s="7">
        <v>9.650199476374496</v>
      </c>
      <c r="T7" s="7" t="s">
        <v>52</v>
      </c>
      <c r="U7" s="7" t="s">
        <v>52</v>
      </c>
      <c r="V7" s="7" t="s">
        <v>52</v>
      </c>
      <c r="W7" s="7" t="s">
        <v>52</v>
      </c>
      <c r="X7" s="7" t="s">
        <v>52</v>
      </c>
      <c r="Y7" s="7" t="s">
        <v>52</v>
      </c>
      <c r="Z7" s="7" t="s">
        <v>52</v>
      </c>
      <c r="AA7" s="7" t="s">
        <v>52</v>
      </c>
      <c r="AB7" s="7" t="s">
        <v>52</v>
      </c>
      <c r="AC7" s="7" t="s">
        <v>52</v>
      </c>
      <c r="AD7" s="7" t="s">
        <v>52</v>
      </c>
      <c r="AE7" s="7" t="s">
        <v>52</v>
      </c>
    </row>
    <row r="8" spans="1:31" x14ac:dyDescent="0.3">
      <c r="A8" s="5" t="s">
        <v>155</v>
      </c>
      <c r="B8" s="7">
        <v>219.06419632699419</v>
      </c>
      <c r="C8" s="7">
        <v>2590.500176866381</v>
      </c>
      <c r="D8" s="7">
        <v>1415.0675527282349</v>
      </c>
      <c r="E8" s="7">
        <v>615.85104488521631</v>
      </c>
      <c r="F8" s="7">
        <v>698.70365708014469</v>
      </c>
      <c r="G8" s="7">
        <v>653.14900314512442</v>
      </c>
      <c r="H8" s="7">
        <v>3009.7199505059252</v>
      </c>
      <c r="I8" s="7">
        <v>212.88620584354399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>
        <v>181.82502119242719</v>
      </c>
      <c r="R8" s="7">
        <v>183.17776389046611</v>
      </c>
      <c r="S8" s="7">
        <v>288.14621806223118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</row>
    <row r="9" spans="1:31" x14ac:dyDescent="0.3">
      <c r="A9" s="5" t="s">
        <v>156</v>
      </c>
      <c r="B9" s="7">
        <v>212.40083289953179</v>
      </c>
      <c r="C9" s="7">
        <v>3219.3937676914202</v>
      </c>
      <c r="D9" s="7">
        <v>2253.6134123777529</v>
      </c>
      <c r="E9" s="7">
        <v>842.24209819842338</v>
      </c>
      <c r="F9" s="7">
        <v>996.38073786850578</v>
      </c>
      <c r="G9" s="7">
        <v>1264.1928158550261</v>
      </c>
      <c r="H9" s="7">
        <v>4044.8854493953859</v>
      </c>
      <c r="I9" s="7">
        <v>233.9189534155116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>
        <v>609.0614612966009</v>
      </c>
      <c r="R9" s="7">
        <v>282.64971991172979</v>
      </c>
      <c r="S9" s="7">
        <v>372.48163464669551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</row>
    <row r="10" spans="1:31" x14ac:dyDescent="0.3">
      <c r="A10" s="5" t="s">
        <v>157</v>
      </c>
      <c r="B10" s="7">
        <v>265.19648058616878</v>
      </c>
      <c r="C10" s="7">
        <v>3479.7178804003629</v>
      </c>
      <c r="D10" s="7">
        <v>2359.9950758717719</v>
      </c>
      <c r="E10" s="7">
        <v>1056.1145042678479</v>
      </c>
      <c r="F10" s="7">
        <v>1204.3825233926959</v>
      </c>
      <c r="G10" s="7">
        <v>1335.474662412413</v>
      </c>
      <c r="H10" s="7">
        <v>4302.023985038195</v>
      </c>
      <c r="I10" s="7">
        <v>258.41303658965558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>
        <v>661.07289312237822</v>
      </c>
      <c r="R10" s="7">
        <v>280.46991092765558</v>
      </c>
      <c r="S10" s="7">
        <v>393.93185836237899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</row>
    <row r="11" spans="1:31" x14ac:dyDescent="0.3">
      <c r="A11" s="5" t="s">
        <v>158</v>
      </c>
      <c r="B11" s="7">
        <v>315.55467698519499</v>
      </c>
      <c r="C11" s="7">
        <v>4084.2104427412119</v>
      </c>
      <c r="D11" s="7">
        <v>2771.4222591127491</v>
      </c>
      <c r="E11" s="7">
        <v>1313.3507168492911</v>
      </c>
      <c r="F11" s="7">
        <v>1638.1740928624499</v>
      </c>
      <c r="G11" s="7">
        <v>1399.256542270703</v>
      </c>
      <c r="H11" s="7">
        <v>4850.2517303827344</v>
      </c>
      <c r="I11" s="7">
        <v>279.45714606487718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>
        <v>691.99595007102505</v>
      </c>
      <c r="R11" s="7">
        <v>251.96547218501999</v>
      </c>
      <c r="S11" s="7">
        <v>455.2951200146577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</row>
    <row r="12" spans="1:31" x14ac:dyDescent="0.3">
      <c r="A12" s="5" t="s">
        <v>159</v>
      </c>
      <c r="B12" s="7">
        <v>338.510444494512</v>
      </c>
      <c r="C12" s="7">
        <v>4523.1798363785647</v>
      </c>
      <c r="D12" s="7">
        <v>3651.8869128470742</v>
      </c>
      <c r="E12" s="7">
        <v>1536.285666403558</v>
      </c>
      <c r="F12" s="7">
        <v>1752.136720769151</v>
      </c>
      <c r="G12" s="7">
        <v>1530.368795262106</v>
      </c>
      <c r="H12" s="7">
        <v>5143.8042742616099</v>
      </c>
      <c r="I12" s="7">
        <v>294.34789200767977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>
        <v>726.20966763298134</v>
      </c>
      <c r="R12" s="7">
        <v>290.58846801346789</v>
      </c>
      <c r="S12" s="7">
        <v>513.57065961565718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</row>
    <row r="13" spans="1:31" x14ac:dyDescent="0.3">
      <c r="A13" s="5" t="s">
        <v>160</v>
      </c>
      <c r="B13" s="7">
        <v>386.79612512746428</v>
      </c>
      <c r="C13" s="7">
        <v>4570.4284211295899</v>
      </c>
      <c r="D13" s="7">
        <v>3448.686010851618</v>
      </c>
      <c r="E13" s="7">
        <v>1648.936175616712</v>
      </c>
      <c r="F13" s="7">
        <v>1831.8687644500239</v>
      </c>
      <c r="G13" s="7">
        <v>1530.166567530752</v>
      </c>
      <c r="H13" s="7">
        <v>5282.1087533530363</v>
      </c>
      <c r="I13" s="7">
        <v>304.59726560733151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>
        <v>758.08899062431442</v>
      </c>
      <c r="R13" s="7">
        <v>255.23917144179131</v>
      </c>
      <c r="S13" s="7">
        <v>516.8384054646458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</row>
    <row r="14" spans="1:31" x14ac:dyDescent="0.3">
      <c r="A14" s="5" t="s">
        <v>161</v>
      </c>
      <c r="B14" s="7">
        <v>397.64208533796051</v>
      </c>
      <c r="C14" s="7">
        <v>4729.8249448384649</v>
      </c>
      <c r="D14" s="7">
        <v>4336.0169303539406</v>
      </c>
      <c r="E14" s="7">
        <v>1738.20430521961</v>
      </c>
      <c r="F14" s="7">
        <v>2270.6242975734431</v>
      </c>
      <c r="G14" s="7">
        <v>1648.734282805071</v>
      </c>
      <c r="H14" s="7">
        <v>5670.4087251579012</v>
      </c>
      <c r="I14" s="7">
        <v>337.29481817692528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>
        <v>754.44268967762991</v>
      </c>
      <c r="R14" s="7">
        <v>292.34563844534449</v>
      </c>
      <c r="S14" s="7">
        <v>601.9459546820965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</row>
    <row r="15" spans="1:31" x14ac:dyDescent="0.3">
      <c r="A15" s="5" t="s">
        <v>162</v>
      </c>
      <c r="B15" s="7">
        <v>429.38757180156659</v>
      </c>
      <c r="C15" s="7">
        <v>4883.8066992124877</v>
      </c>
      <c r="D15" s="7">
        <v>4911.0272556390919</v>
      </c>
      <c r="E15" s="7">
        <v>1950.2083548313551</v>
      </c>
      <c r="F15" s="7">
        <v>2527.3627817419838</v>
      </c>
      <c r="G15" s="7">
        <v>1704.444344765948</v>
      </c>
      <c r="H15" s="7">
        <v>6094.4855753049633</v>
      </c>
      <c r="I15" s="7">
        <v>350.96465459407841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>
        <v>771.84797843665547</v>
      </c>
      <c r="R15" s="7">
        <v>286.82413645478942</v>
      </c>
      <c r="S15" s="7">
        <v>645.77222987450273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</row>
    <row r="16" spans="1:31" x14ac:dyDescent="0.3">
      <c r="A16" s="5" t="s">
        <v>163</v>
      </c>
      <c r="B16" s="7">
        <v>472.37675905166242</v>
      </c>
      <c r="C16" s="7">
        <v>4719.7713242700956</v>
      </c>
      <c r="D16" s="7">
        <v>5190.4460884203036</v>
      </c>
      <c r="E16" s="7">
        <v>1965.665864987933</v>
      </c>
      <c r="F16" s="7">
        <v>2615.5991118288289</v>
      </c>
      <c r="G16" s="7">
        <v>1696.997816460007</v>
      </c>
      <c r="H16" s="7">
        <v>6225.8234231659771</v>
      </c>
      <c r="I16" s="7">
        <v>362.71946122980609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>
        <v>771.0402344709064</v>
      </c>
      <c r="R16" s="7">
        <v>284.89221059624782</v>
      </c>
      <c r="S16" s="7">
        <v>641.06537139285228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</row>
    <row r="17" spans="1:31" x14ac:dyDescent="0.3">
      <c r="A17" s="5" t="s">
        <v>164</v>
      </c>
      <c r="B17" s="7">
        <v>473.64508856682602</v>
      </c>
      <c r="C17" s="7">
        <v>4890.7011591671198</v>
      </c>
      <c r="D17" s="7">
        <v>5563.8918778201996</v>
      </c>
      <c r="E17" s="7">
        <v>2221.6056320661501</v>
      </c>
      <c r="F17" s="7">
        <v>2816.922540265854</v>
      </c>
      <c r="G17" s="7">
        <v>1762.31695656189</v>
      </c>
      <c r="H17" s="7">
        <v>6752.4978471220757</v>
      </c>
      <c r="I17" s="7">
        <v>375.09575908808421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>
        <v>776.35615129545488</v>
      </c>
      <c r="R17" s="7">
        <v>309.80685863460178</v>
      </c>
      <c r="S17" s="7">
        <v>676.15394663183304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</row>
    <row r="18" spans="1:31" x14ac:dyDescent="0.3">
      <c r="A18" s="5" t="s">
        <v>165</v>
      </c>
      <c r="B18" s="7">
        <v>6.6021571522310616</v>
      </c>
      <c r="C18" s="7">
        <v>218.42178493228531</v>
      </c>
      <c r="D18" s="7">
        <v>17.2779409338394</v>
      </c>
      <c r="E18" s="7">
        <v>15.649887823966919</v>
      </c>
      <c r="F18" s="7">
        <v>19.692107741570769</v>
      </c>
      <c r="G18" s="7">
        <v>23.73115102755397</v>
      </c>
      <c r="H18" s="7">
        <v>477.23375660672752</v>
      </c>
      <c r="I18" s="7">
        <v>137.3261615702263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>
        <v>10.201845922019171</v>
      </c>
      <c r="R18" s="7">
        <v>7.4780274272424982</v>
      </c>
      <c r="S18" s="7">
        <v>6.0512776782923048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</row>
    <row r="19" spans="1:31" x14ac:dyDescent="0.3">
      <c r="A19" s="5" t="s">
        <v>166</v>
      </c>
      <c r="B19" s="7">
        <v>129.67987823818109</v>
      </c>
      <c r="C19" s="7">
        <v>2701.9675668807909</v>
      </c>
      <c r="D19" s="7">
        <v>1305.818645326847</v>
      </c>
      <c r="E19" s="7">
        <v>617.18179768988205</v>
      </c>
      <c r="F19" s="7">
        <v>686.38295345845609</v>
      </c>
      <c r="G19" s="7">
        <v>545.10656297271623</v>
      </c>
      <c r="H19" s="7">
        <v>2810.6186466588401</v>
      </c>
      <c r="I19" s="7">
        <v>176.86797516995961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>
        <v>162.05534274193539</v>
      </c>
      <c r="R19" s="7">
        <v>184.4507139016666</v>
      </c>
      <c r="S19" s="7">
        <v>198.60050632911421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</row>
    <row r="20" spans="1:31" x14ac:dyDescent="0.3">
      <c r="A20" s="5" t="s">
        <v>167</v>
      </c>
      <c r="B20" s="7">
        <v>195.49236675564609</v>
      </c>
      <c r="C20" s="7">
        <v>3600.4212629625581</v>
      </c>
      <c r="D20" s="7">
        <v>1879.945855440546</v>
      </c>
      <c r="E20" s="7">
        <v>867.29843510903868</v>
      </c>
      <c r="F20" s="7">
        <v>1066.549379652605</v>
      </c>
      <c r="G20" s="7">
        <v>1124.1970083136709</v>
      </c>
      <c r="H20" s="7">
        <v>3792.673327509523</v>
      </c>
      <c r="I20" s="7">
        <v>195.92402975610091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>
        <v>617.58942942942815</v>
      </c>
      <c r="R20" s="7">
        <v>256.12517125420368</v>
      </c>
      <c r="S20" s="7">
        <v>250.48240763003949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</row>
    <row r="21" spans="1:31" x14ac:dyDescent="0.3">
      <c r="A21" s="5" t="s">
        <v>168</v>
      </c>
      <c r="B21" s="7">
        <v>261.41711631127919</v>
      </c>
      <c r="C21" s="7">
        <v>3847.7983716775552</v>
      </c>
      <c r="D21" s="7">
        <v>2283.036907231241</v>
      </c>
      <c r="E21" s="7">
        <v>1087.286840971354</v>
      </c>
      <c r="F21" s="7">
        <v>1612.1040590630089</v>
      </c>
      <c r="G21" s="7">
        <v>1175.9813141367681</v>
      </c>
      <c r="H21" s="7">
        <v>4275.1814926730576</v>
      </c>
      <c r="I21" s="7">
        <v>206.99533448111691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>
        <v>675.10343464945595</v>
      </c>
      <c r="R21" s="7">
        <v>254.55589336415471</v>
      </c>
      <c r="S21" s="7">
        <v>246.32198612315739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</row>
    <row r="22" spans="1:31" x14ac:dyDescent="0.3">
      <c r="A22" s="5" t="s">
        <v>169</v>
      </c>
      <c r="B22" s="7">
        <v>271.17587548638159</v>
      </c>
      <c r="C22" s="7">
        <v>3425.4638685284249</v>
      </c>
      <c r="D22" s="7">
        <v>2981.525121329571</v>
      </c>
      <c r="E22" s="7">
        <v>1400.0547739864321</v>
      </c>
      <c r="F22" s="7">
        <v>1690.7266986721961</v>
      </c>
      <c r="G22" s="7">
        <v>1180.2557656029319</v>
      </c>
      <c r="H22" s="7">
        <v>4643.5147433118691</v>
      </c>
      <c r="I22" s="7">
        <v>219.1535474973027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>
        <v>689.5459036944178</v>
      </c>
      <c r="R22" s="7">
        <v>224.85445499256531</v>
      </c>
      <c r="S22" s="7">
        <v>265.855406915949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</row>
    <row r="23" spans="1:31" x14ac:dyDescent="0.3">
      <c r="A23" s="5" t="s">
        <v>170</v>
      </c>
      <c r="B23" s="7">
        <v>302.92046812399002</v>
      </c>
      <c r="C23" s="7">
        <v>4261.2130059834371</v>
      </c>
      <c r="D23" s="7">
        <v>3175.1194349074099</v>
      </c>
      <c r="E23" s="7">
        <v>1484.0693572039411</v>
      </c>
      <c r="F23" s="7">
        <v>2150.6712950899068</v>
      </c>
      <c r="G23" s="7">
        <v>1293.6656314014531</v>
      </c>
      <c r="H23" s="7">
        <v>5328.1754103273661</v>
      </c>
      <c r="I23" s="7">
        <v>222.382599544568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>
        <v>720.61114219766466</v>
      </c>
      <c r="R23" s="7">
        <v>290.87673217262932</v>
      </c>
      <c r="S23" s="7">
        <v>282.17775703115922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</row>
    <row r="24" spans="1:31" x14ac:dyDescent="0.3">
      <c r="A24" s="5" t="s">
        <v>171</v>
      </c>
      <c r="B24" s="7">
        <v>375.3322751639667</v>
      </c>
      <c r="C24" s="7">
        <v>4535.3828525268127</v>
      </c>
      <c r="D24" s="7">
        <v>3795.0241328212469</v>
      </c>
      <c r="E24" s="7">
        <v>1675.431139590672</v>
      </c>
      <c r="F24" s="7">
        <v>2898.7457177814099</v>
      </c>
      <c r="G24" s="7">
        <v>1274.202969795859</v>
      </c>
      <c r="H24" s="7">
        <v>5815.7658314836744</v>
      </c>
      <c r="I24" s="7">
        <v>243.86317329971899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>
        <v>730.96726190476249</v>
      </c>
      <c r="R24" s="7">
        <v>242.9366635249765</v>
      </c>
      <c r="S24" s="7">
        <v>300.29904436611957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</row>
    <row r="25" spans="1:31" x14ac:dyDescent="0.3">
      <c r="A25" s="5" t="s">
        <v>172</v>
      </c>
      <c r="B25" s="7">
        <v>388.83074927419852</v>
      </c>
      <c r="C25" s="7">
        <v>4472.7093801977671</v>
      </c>
      <c r="D25" s="7">
        <v>3973.9072063783942</v>
      </c>
      <c r="E25" s="7">
        <v>1674.3113863300771</v>
      </c>
      <c r="F25" s="7">
        <v>2745.6262222222249</v>
      </c>
      <c r="G25" s="7">
        <v>1300.660114111131</v>
      </c>
      <c r="H25" s="7">
        <v>6436.4603311074598</v>
      </c>
      <c r="I25" s="7">
        <v>247.44266687437519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>
        <v>746.39373366373684</v>
      </c>
      <c r="R25" s="7">
        <v>284.13559481006718</v>
      </c>
      <c r="S25" s="7">
        <v>270.13078563732722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</row>
    <row r="26" spans="1:31" x14ac:dyDescent="0.3">
      <c r="A26" s="5" t="s">
        <v>173</v>
      </c>
      <c r="B26" s="7">
        <v>442.9814971703542</v>
      </c>
      <c r="C26" s="7">
        <v>4577.2433495568448</v>
      </c>
      <c r="D26" s="7">
        <v>4224.7198671192209</v>
      </c>
      <c r="E26" s="7">
        <v>2008.168235625257</v>
      </c>
      <c r="F26" s="7">
        <v>3994.6720027482002</v>
      </c>
      <c r="G26" s="7">
        <v>1303.169181103415</v>
      </c>
      <c r="H26" s="7">
        <v>6575.0546449357489</v>
      </c>
      <c r="I26" s="7">
        <v>265.58630891308252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>
        <v>762.32127731923674</v>
      </c>
      <c r="R26" s="7">
        <v>282.83515337601023</v>
      </c>
      <c r="S26" s="7">
        <v>258.01275040816859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</row>
    <row r="27" spans="1:31" x14ac:dyDescent="0.3">
      <c r="A27" s="5" t="s">
        <v>174</v>
      </c>
      <c r="B27" s="7">
        <v>400.95804282482601</v>
      </c>
      <c r="C27" s="7">
        <v>4383.5657332203618</v>
      </c>
      <c r="D27" s="7">
        <v>4867.3285246824489</v>
      </c>
      <c r="E27" s="7">
        <v>2006.638452568219</v>
      </c>
      <c r="F27" s="7">
        <v>3728.6990650334328</v>
      </c>
      <c r="G27" s="7">
        <v>1307.4108624545299</v>
      </c>
      <c r="H27" s="7">
        <v>7133.0777331671115</v>
      </c>
      <c r="I27" s="7">
        <v>270.15250856803777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>
        <v>760.43635129359018</v>
      </c>
      <c r="R27" s="7">
        <v>270.77734976887518</v>
      </c>
      <c r="S27" s="7">
        <v>276.19716139206469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</row>
    <row r="28" spans="1:31" x14ac:dyDescent="0.3">
      <c r="A28" s="5" t="s">
        <v>175</v>
      </c>
      <c r="B28" s="7">
        <v>421.00567440125752</v>
      </c>
      <c r="C28" s="7">
        <v>4062.7547499356479</v>
      </c>
      <c r="D28" s="7">
        <v>4732.900323624599</v>
      </c>
      <c r="E28" s="7">
        <v>2109.9934909976259</v>
      </c>
      <c r="F28" s="7">
        <v>4570.7638046499833</v>
      </c>
      <c r="G28" s="7">
        <v>1324.202301244969</v>
      </c>
      <c r="H28" s="7">
        <v>7304.5126446505983</v>
      </c>
      <c r="I28" s="7">
        <v>278.48217631265902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>
        <v>775.66197297736869</v>
      </c>
      <c r="R28" s="7">
        <v>272.51075117105802</v>
      </c>
      <c r="S28" s="7">
        <v>276.02957709654243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</row>
    <row r="29" spans="1:31" x14ac:dyDescent="0.3">
      <c r="A29" s="5" t="s">
        <v>176</v>
      </c>
      <c r="B29" s="7">
        <v>6.4590920676276227</v>
      </c>
      <c r="C29" s="7">
        <v>230.0278181196621</v>
      </c>
      <c r="D29" s="7">
        <v>23.336111216334</v>
      </c>
      <c r="E29" s="7">
        <v>17.070536331254441</v>
      </c>
      <c r="F29" s="7">
        <v>19.452789195537321</v>
      </c>
      <c r="G29" s="7">
        <v>22.127322005235669</v>
      </c>
      <c r="H29" s="7">
        <v>511.42767578871718</v>
      </c>
      <c r="I29" s="7">
        <v>136.9202112497623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>
        <v>8.127248322147679</v>
      </c>
      <c r="R29" s="7">
        <v>5.7686187713106634</v>
      </c>
      <c r="S29" s="7">
        <v>8.231454911777325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</row>
    <row r="30" spans="1:31" x14ac:dyDescent="0.3">
      <c r="A30" s="5" t="s">
        <v>177</v>
      </c>
      <c r="B30" s="7">
        <v>169.7774636510502</v>
      </c>
      <c r="C30" s="7">
        <v>2557.1881661325328</v>
      </c>
      <c r="D30" s="7">
        <v>1230.0610848895269</v>
      </c>
      <c r="E30" s="7">
        <v>604.19720499188509</v>
      </c>
      <c r="F30" s="7">
        <v>501.22741859736601</v>
      </c>
      <c r="G30" s="7">
        <v>828.48072992401831</v>
      </c>
      <c r="H30" s="7">
        <v>2995.4269281992902</v>
      </c>
      <c r="I30" s="7">
        <v>226.75556838268389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>
        <v>192.4041848606509</v>
      </c>
      <c r="R30" s="7">
        <v>317.64465408805029</v>
      </c>
      <c r="S30" s="7">
        <v>318.431890975317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</row>
    <row r="31" spans="1:31" x14ac:dyDescent="0.3">
      <c r="A31" s="5" t="s">
        <v>178</v>
      </c>
      <c r="B31" s="7">
        <v>206.45209046631649</v>
      </c>
      <c r="C31" s="7">
        <v>3498.458953660001</v>
      </c>
      <c r="D31" s="7">
        <v>2020.585245085111</v>
      </c>
      <c r="E31" s="7">
        <v>898.97488241711585</v>
      </c>
      <c r="F31" s="7">
        <v>918.2263954697795</v>
      </c>
      <c r="G31" s="7">
        <v>2625.2774087797839</v>
      </c>
      <c r="H31" s="7">
        <v>4163.603000748617</v>
      </c>
      <c r="I31" s="7">
        <v>244.17980985882949</v>
      </c>
      <c r="J31" s="7" t="s">
        <v>52</v>
      </c>
      <c r="K31" s="7" t="s">
        <v>52</v>
      </c>
      <c r="L31" s="7" t="s">
        <v>52</v>
      </c>
      <c r="M31" s="7" t="s">
        <v>52</v>
      </c>
      <c r="N31" s="7" t="s">
        <v>52</v>
      </c>
      <c r="O31" s="7" t="s">
        <v>52</v>
      </c>
      <c r="P31" s="7" t="s">
        <v>52</v>
      </c>
      <c r="Q31" s="7">
        <v>596.3589280677021</v>
      </c>
      <c r="R31" s="7">
        <v>1008.946323362794</v>
      </c>
      <c r="S31" s="7">
        <v>1019.972157349289</v>
      </c>
      <c r="T31" s="7" t="s">
        <v>52</v>
      </c>
      <c r="U31" s="7" t="s">
        <v>52</v>
      </c>
      <c r="V31" s="7" t="s">
        <v>52</v>
      </c>
      <c r="W31" s="7" t="s">
        <v>52</v>
      </c>
      <c r="X31" s="7" t="s">
        <v>52</v>
      </c>
      <c r="Y31" s="7" t="s">
        <v>52</v>
      </c>
      <c r="Z31" s="7" t="s">
        <v>52</v>
      </c>
      <c r="AA31" s="7" t="s">
        <v>52</v>
      </c>
      <c r="AB31" s="7" t="s">
        <v>52</v>
      </c>
      <c r="AC31" s="7" t="s">
        <v>52</v>
      </c>
      <c r="AD31" s="7" t="s">
        <v>52</v>
      </c>
      <c r="AE31" s="7" t="s">
        <v>52</v>
      </c>
    </row>
    <row r="32" spans="1:31" x14ac:dyDescent="0.3">
      <c r="A32" s="5" t="s">
        <v>179</v>
      </c>
      <c r="B32" s="7">
        <v>229.8932327389121</v>
      </c>
      <c r="C32" s="7">
        <v>3552.507534086536</v>
      </c>
      <c r="D32" s="7">
        <v>2643.875037448825</v>
      </c>
      <c r="E32" s="7">
        <v>1040.569530263057</v>
      </c>
      <c r="F32" s="7">
        <v>1105.759017250391</v>
      </c>
      <c r="G32" s="7">
        <v>2618.288453397533</v>
      </c>
      <c r="H32" s="7">
        <v>4358.5273946440757</v>
      </c>
      <c r="I32" s="7">
        <v>256.63913351803518</v>
      </c>
      <c r="J32" s="7" t="s">
        <v>52</v>
      </c>
      <c r="K32" s="7" t="s">
        <v>52</v>
      </c>
      <c r="L32" s="7" t="s">
        <v>52</v>
      </c>
      <c r="M32" s="7" t="s">
        <v>52</v>
      </c>
      <c r="N32" s="7" t="s">
        <v>52</v>
      </c>
      <c r="O32" s="7" t="s">
        <v>52</v>
      </c>
      <c r="P32" s="7" t="s">
        <v>52</v>
      </c>
      <c r="Q32" s="7">
        <v>635.51710078512076</v>
      </c>
      <c r="R32" s="7">
        <v>1000.609592935745</v>
      </c>
      <c r="S32" s="7">
        <v>982.16175967666686</v>
      </c>
      <c r="T32" s="7" t="s">
        <v>52</v>
      </c>
      <c r="U32" s="7" t="s">
        <v>52</v>
      </c>
      <c r="V32" s="7" t="s">
        <v>52</v>
      </c>
      <c r="W32" s="7" t="s">
        <v>52</v>
      </c>
      <c r="X32" s="7" t="s">
        <v>52</v>
      </c>
      <c r="Y32" s="7" t="s">
        <v>52</v>
      </c>
      <c r="Z32" s="7" t="s">
        <v>52</v>
      </c>
      <c r="AA32" s="7" t="s">
        <v>52</v>
      </c>
      <c r="AB32" s="7" t="s">
        <v>52</v>
      </c>
      <c r="AC32" s="7" t="s">
        <v>52</v>
      </c>
      <c r="AD32" s="7" t="s">
        <v>52</v>
      </c>
      <c r="AE32" s="7" t="s">
        <v>52</v>
      </c>
    </row>
    <row r="33" spans="1:31" x14ac:dyDescent="0.3">
      <c r="A33" s="5" t="s">
        <v>180</v>
      </c>
      <c r="B33" s="7">
        <v>306.35495735438639</v>
      </c>
      <c r="C33" s="7">
        <v>4113.0973569216121</v>
      </c>
      <c r="D33" s="7">
        <v>2931.1870576706729</v>
      </c>
      <c r="E33" s="7">
        <v>1318.0254640276839</v>
      </c>
      <c r="F33" s="7">
        <v>1381.4289305301641</v>
      </c>
      <c r="G33" s="7">
        <v>2703.9359643644948</v>
      </c>
      <c r="H33" s="7">
        <v>4659.8013124008294</v>
      </c>
      <c r="I33" s="7">
        <v>277.0638065919232</v>
      </c>
      <c r="J33" s="7" t="s">
        <v>52</v>
      </c>
      <c r="K33" s="7" t="s">
        <v>52</v>
      </c>
      <c r="L33" s="7" t="s">
        <v>52</v>
      </c>
      <c r="M33" s="7" t="s">
        <v>52</v>
      </c>
      <c r="N33" s="7" t="s">
        <v>52</v>
      </c>
      <c r="O33" s="7" t="s">
        <v>52</v>
      </c>
      <c r="P33" s="7" t="s">
        <v>52</v>
      </c>
      <c r="Q33" s="7">
        <v>658.82903981264644</v>
      </c>
      <c r="R33" s="7">
        <v>1013.761910146236</v>
      </c>
      <c r="S33" s="7">
        <v>1031.3450144056119</v>
      </c>
      <c r="T33" s="7" t="s">
        <v>52</v>
      </c>
      <c r="U33" s="7" t="s">
        <v>52</v>
      </c>
      <c r="V33" s="7" t="s">
        <v>52</v>
      </c>
      <c r="W33" s="7" t="s">
        <v>52</v>
      </c>
      <c r="X33" s="7" t="s">
        <v>52</v>
      </c>
      <c r="Y33" s="7" t="s">
        <v>52</v>
      </c>
      <c r="Z33" s="7" t="s">
        <v>52</v>
      </c>
      <c r="AA33" s="7" t="s">
        <v>52</v>
      </c>
      <c r="AB33" s="7" t="s">
        <v>52</v>
      </c>
      <c r="AC33" s="7" t="s">
        <v>52</v>
      </c>
      <c r="AD33" s="7" t="s">
        <v>52</v>
      </c>
      <c r="AE33" s="7" t="s">
        <v>52</v>
      </c>
    </row>
    <row r="34" spans="1:31" x14ac:dyDescent="0.3">
      <c r="A34" s="5" t="s">
        <v>181</v>
      </c>
      <c r="B34" s="7">
        <v>327.57497392478092</v>
      </c>
      <c r="C34" s="7">
        <v>4275.6759129298898</v>
      </c>
      <c r="D34" s="7">
        <v>3554.702789008028</v>
      </c>
      <c r="E34" s="7">
        <v>1487.475186591186</v>
      </c>
      <c r="F34" s="7">
        <v>1555.8066807384309</v>
      </c>
      <c r="G34" s="7">
        <v>2763.3807681121489</v>
      </c>
      <c r="H34" s="7">
        <v>4932.7411556312627</v>
      </c>
      <c r="I34" s="7">
        <v>283.03561821853248</v>
      </c>
      <c r="J34" s="7" t="s">
        <v>52</v>
      </c>
      <c r="K34" s="7" t="s">
        <v>52</v>
      </c>
      <c r="L34" s="7" t="s">
        <v>52</v>
      </c>
      <c r="M34" s="7" t="s">
        <v>52</v>
      </c>
      <c r="N34" s="7" t="s">
        <v>52</v>
      </c>
      <c r="O34" s="7" t="s">
        <v>52</v>
      </c>
      <c r="P34" s="7" t="s">
        <v>52</v>
      </c>
      <c r="Q34" s="7">
        <v>694.18797145079895</v>
      </c>
      <c r="R34" s="7">
        <v>1017.918346608975</v>
      </c>
      <c r="S34" s="7">
        <v>1051.274450052375</v>
      </c>
      <c r="T34" s="7" t="s">
        <v>52</v>
      </c>
      <c r="U34" s="7" t="s">
        <v>52</v>
      </c>
      <c r="V34" s="7" t="s">
        <v>52</v>
      </c>
      <c r="W34" s="7" t="s">
        <v>52</v>
      </c>
      <c r="X34" s="7" t="s">
        <v>52</v>
      </c>
      <c r="Y34" s="7" t="s">
        <v>52</v>
      </c>
      <c r="Z34" s="7" t="s">
        <v>52</v>
      </c>
      <c r="AA34" s="7" t="s">
        <v>52</v>
      </c>
      <c r="AB34" s="7" t="s">
        <v>52</v>
      </c>
      <c r="AC34" s="7" t="s">
        <v>52</v>
      </c>
      <c r="AD34" s="7" t="s">
        <v>52</v>
      </c>
      <c r="AE34" s="7" t="s">
        <v>52</v>
      </c>
    </row>
    <row r="35" spans="1:31" x14ac:dyDescent="0.3">
      <c r="A35" s="5" t="s">
        <v>182</v>
      </c>
      <c r="B35" s="7">
        <v>376.70651819527012</v>
      </c>
      <c r="C35" s="7">
        <v>4490.5184390263048</v>
      </c>
      <c r="D35" s="7">
        <v>4109.3112420975522</v>
      </c>
      <c r="E35" s="7">
        <v>1571.1951174391199</v>
      </c>
      <c r="F35" s="7">
        <v>1692.7518364848329</v>
      </c>
      <c r="G35" s="7">
        <v>2768.4137879361479</v>
      </c>
      <c r="H35" s="7">
        <v>5301.0348599784329</v>
      </c>
      <c r="I35" s="7">
        <v>303.55490653472702</v>
      </c>
      <c r="J35" s="7" t="s">
        <v>52</v>
      </c>
      <c r="K35" s="7" t="s">
        <v>52</v>
      </c>
      <c r="L35" s="7" t="s">
        <v>52</v>
      </c>
      <c r="M35" s="7" t="s">
        <v>52</v>
      </c>
      <c r="N35" s="7" t="s">
        <v>52</v>
      </c>
      <c r="O35" s="7" t="s">
        <v>52</v>
      </c>
      <c r="P35" s="7" t="s">
        <v>52</v>
      </c>
      <c r="Q35" s="7">
        <v>696.65968049662627</v>
      </c>
      <c r="R35" s="7">
        <v>1027.365832393064</v>
      </c>
      <c r="S35" s="7">
        <v>1044.3882750464579</v>
      </c>
      <c r="T35" s="7" t="s">
        <v>52</v>
      </c>
      <c r="U35" s="7" t="s">
        <v>52</v>
      </c>
      <c r="V35" s="7" t="s">
        <v>52</v>
      </c>
      <c r="W35" s="7" t="s">
        <v>52</v>
      </c>
      <c r="X35" s="7" t="s">
        <v>52</v>
      </c>
      <c r="Y35" s="7" t="s">
        <v>52</v>
      </c>
      <c r="Z35" s="7" t="s">
        <v>52</v>
      </c>
      <c r="AA35" s="7" t="s">
        <v>52</v>
      </c>
      <c r="AB35" s="7" t="s">
        <v>52</v>
      </c>
      <c r="AC35" s="7" t="s">
        <v>52</v>
      </c>
      <c r="AD35" s="7" t="s">
        <v>52</v>
      </c>
      <c r="AE35" s="7" t="s">
        <v>52</v>
      </c>
    </row>
    <row r="36" spans="1:31" x14ac:dyDescent="0.3">
      <c r="A36" s="5" t="s">
        <v>183</v>
      </c>
      <c r="B36" s="7">
        <v>416.54022962059719</v>
      </c>
      <c r="C36" s="7">
        <v>4388.2389689895417</v>
      </c>
      <c r="D36" s="7">
        <v>4021.9023318490772</v>
      </c>
      <c r="E36" s="7">
        <v>1745.768876446781</v>
      </c>
      <c r="F36" s="7">
        <v>1891.1587769915659</v>
      </c>
      <c r="G36" s="7">
        <v>2686.9690888972532</v>
      </c>
      <c r="H36" s="7">
        <v>5540.4405303218873</v>
      </c>
      <c r="I36" s="7">
        <v>312.54723693991161</v>
      </c>
      <c r="J36" s="7" t="s">
        <v>52</v>
      </c>
      <c r="K36" s="7" t="s">
        <v>52</v>
      </c>
      <c r="L36" s="7" t="s">
        <v>52</v>
      </c>
      <c r="M36" s="7" t="s">
        <v>52</v>
      </c>
      <c r="N36" s="7" t="s">
        <v>52</v>
      </c>
      <c r="O36" s="7" t="s">
        <v>52</v>
      </c>
      <c r="P36" s="7" t="s">
        <v>52</v>
      </c>
      <c r="Q36" s="7">
        <v>715.60146252285142</v>
      </c>
      <c r="R36" s="7">
        <v>1017.764927339808</v>
      </c>
      <c r="S36" s="7">
        <v>953.60269903459334</v>
      </c>
      <c r="T36" s="7" t="s">
        <v>52</v>
      </c>
      <c r="U36" s="7" t="s">
        <v>52</v>
      </c>
      <c r="V36" s="7" t="s">
        <v>52</v>
      </c>
      <c r="W36" s="7" t="s">
        <v>52</v>
      </c>
      <c r="X36" s="7" t="s">
        <v>52</v>
      </c>
      <c r="Y36" s="7" t="s">
        <v>52</v>
      </c>
      <c r="Z36" s="7" t="s">
        <v>52</v>
      </c>
      <c r="AA36" s="7" t="s">
        <v>52</v>
      </c>
      <c r="AB36" s="7" t="s">
        <v>52</v>
      </c>
      <c r="AC36" s="7" t="s">
        <v>52</v>
      </c>
      <c r="AD36" s="7" t="s">
        <v>52</v>
      </c>
      <c r="AE36" s="7" t="s">
        <v>52</v>
      </c>
    </row>
    <row r="37" spans="1:31" x14ac:dyDescent="0.3">
      <c r="A37" s="5" t="s">
        <v>184</v>
      </c>
      <c r="B37" s="7">
        <v>447.69217604701453</v>
      </c>
      <c r="C37" s="7">
        <v>4829.0127027810577</v>
      </c>
      <c r="D37" s="7">
        <v>4942.0517470680716</v>
      </c>
      <c r="E37" s="7">
        <v>1965.744514101506</v>
      </c>
      <c r="F37" s="7">
        <v>2199.526230021936</v>
      </c>
      <c r="G37" s="7">
        <v>2768.772423082054</v>
      </c>
      <c r="H37" s="7">
        <v>5713.7758904233942</v>
      </c>
      <c r="I37" s="7">
        <v>330.43380063459517</v>
      </c>
      <c r="J37" s="7" t="s">
        <v>52</v>
      </c>
      <c r="K37" s="7" t="s">
        <v>52</v>
      </c>
      <c r="L37" s="7" t="s">
        <v>52</v>
      </c>
      <c r="M37" s="7" t="s">
        <v>52</v>
      </c>
      <c r="N37" s="7" t="s">
        <v>52</v>
      </c>
      <c r="O37" s="7" t="s">
        <v>52</v>
      </c>
      <c r="P37" s="7" t="s">
        <v>52</v>
      </c>
      <c r="Q37" s="7">
        <v>719.45079935026013</v>
      </c>
      <c r="R37" s="7">
        <v>1021.330635663594</v>
      </c>
      <c r="S37" s="7">
        <v>1027.9909880682001</v>
      </c>
      <c r="T37" s="7" t="s">
        <v>52</v>
      </c>
      <c r="U37" s="7" t="s">
        <v>52</v>
      </c>
      <c r="V37" s="7" t="s">
        <v>52</v>
      </c>
      <c r="W37" s="7" t="s">
        <v>52</v>
      </c>
      <c r="X37" s="7" t="s">
        <v>52</v>
      </c>
      <c r="Y37" s="7" t="s">
        <v>52</v>
      </c>
      <c r="Z37" s="7" t="s">
        <v>52</v>
      </c>
      <c r="AA37" s="7" t="s">
        <v>52</v>
      </c>
      <c r="AB37" s="7" t="s">
        <v>52</v>
      </c>
      <c r="AC37" s="7" t="s">
        <v>52</v>
      </c>
      <c r="AD37" s="7" t="s">
        <v>52</v>
      </c>
      <c r="AE37" s="7" t="s">
        <v>52</v>
      </c>
    </row>
    <row r="38" spans="1:31" x14ac:dyDescent="0.3">
      <c r="A38" s="5" t="s">
        <v>185</v>
      </c>
      <c r="B38" s="7">
        <v>437.65867970660162</v>
      </c>
      <c r="C38" s="7">
        <v>4969.5219004399833</v>
      </c>
      <c r="D38" s="7">
        <v>4864.8286310783787</v>
      </c>
      <c r="E38" s="7">
        <v>2054.6345399165239</v>
      </c>
      <c r="F38" s="7">
        <v>2368.3112985669059</v>
      </c>
      <c r="G38" s="7">
        <v>2740.417283653454</v>
      </c>
      <c r="H38" s="7">
        <v>5920.6101096834709</v>
      </c>
      <c r="I38" s="7">
        <v>344.51642364002169</v>
      </c>
      <c r="J38" s="7" t="s">
        <v>52</v>
      </c>
      <c r="K38" s="7" t="s">
        <v>52</v>
      </c>
      <c r="L38" s="7" t="s">
        <v>52</v>
      </c>
      <c r="M38" s="7" t="s">
        <v>52</v>
      </c>
      <c r="N38" s="7" t="s">
        <v>52</v>
      </c>
      <c r="O38" s="7" t="s">
        <v>52</v>
      </c>
      <c r="P38" s="7" t="s">
        <v>52</v>
      </c>
      <c r="Q38" s="7">
        <v>747.49946756225643</v>
      </c>
      <c r="R38" s="7">
        <v>1033.21371413978</v>
      </c>
      <c r="S38" s="7">
        <v>959.70410195141767</v>
      </c>
      <c r="T38" s="7" t="s">
        <v>52</v>
      </c>
      <c r="U38" s="7" t="s">
        <v>52</v>
      </c>
      <c r="V38" s="7" t="s">
        <v>52</v>
      </c>
      <c r="W38" s="7" t="s">
        <v>52</v>
      </c>
      <c r="X38" s="7" t="s">
        <v>52</v>
      </c>
      <c r="Y38" s="7" t="s">
        <v>52</v>
      </c>
      <c r="Z38" s="7" t="s">
        <v>52</v>
      </c>
      <c r="AA38" s="7" t="s">
        <v>52</v>
      </c>
      <c r="AB38" s="7" t="s">
        <v>52</v>
      </c>
      <c r="AC38" s="7" t="s">
        <v>52</v>
      </c>
      <c r="AD38" s="7" t="s">
        <v>52</v>
      </c>
      <c r="AE38" s="7" t="s">
        <v>52</v>
      </c>
    </row>
    <row r="39" spans="1:31" x14ac:dyDescent="0.3">
      <c r="A39" s="5" t="s">
        <v>186</v>
      </c>
      <c r="B39" s="7">
        <v>450.7786167105927</v>
      </c>
      <c r="C39" s="7">
        <v>4351.2526234192283</v>
      </c>
      <c r="D39" s="7">
        <v>5245.1364513269818</v>
      </c>
      <c r="E39" s="7">
        <v>2038.934666933661</v>
      </c>
      <c r="F39" s="7">
        <v>2246.7095247184589</v>
      </c>
      <c r="G39" s="7">
        <v>2813.3134466757328</v>
      </c>
      <c r="H39" s="7">
        <v>5784.8108332879256</v>
      </c>
      <c r="I39" s="7">
        <v>335.22368879329849</v>
      </c>
      <c r="J39" s="7" t="s">
        <v>52</v>
      </c>
      <c r="K39" s="7" t="s">
        <v>52</v>
      </c>
      <c r="L39" s="7" t="s">
        <v>52</v>
      </c>
      <c r="M39" s="7" t="s">
        <v>52</v>
      </c>
      <c r="N39" s="7" t="s">
        <v>52</v>
      </c>
      <c r="O39" s="7" t="s">
        <v>52</v>
      </c>
      <c r="P39" s="7" t="s">
        <v>52</v>
      </c>
      <c r="Q39" s="7">
        <v>737.2084552205215</v>
      </c>
      <c r="R39" s="7">
        <v>1045.938440239961</v>
      </c>
      <c r="S39" s="7">
        <v>1030.166551215251</v>
      </c>
      <c r="T39" s="7" t="s">
        <v>52</v>
      </c>
      <c r="U39" s="7" t="s">
        <v>52</v>
      </c>
      <c r="V39" s="7" t="s">
        <v>52</v>
      </c>
      <c r="W39" s="7" t="s">
        <v>52</v>
      </c>
      <c r="X39" s="7" t="s">
        <v>52</v>
      </c>
      <c r="Y39" s="7" t="s">
        <v>52</v>
      </c>
      <c r="Z39" s="7" t="s">
        <v>52</v>
      </c>
      <c r="AA39" s="7" t="s">
        <v>52</v>
      </c>
      <c r="AB39" s="7" t="s">
        <v>52</v>
      </c>
      <c r="AC39" s="7" t="s">
        <v>52</v>
      </c>
      <c r="AD39" s="7" t="s">
        <v>52</v>
      </c>
      <c r="AE39" s="7" t="s">
        <v>52</v>
      </c>
    </row>
    <row r="40" spans="1:31" x14ac:dyDescent="0.3">
      <c r="A40" s="5" t="s">
        <v>187</v>
      </c>
      <c r="B40" s="7">
        <v>6.6294955892333114</v>
      </c>
      <c r="C40" s="7">
        <v>214.08584333699949</v>
      </c>
      <c r="D40" s="7">
        <v>15.33268961221008</v>
      </c>
      <c r="E40" s="7">
        <v>15.0913381119221</v>
      </c>
      <c r="F40" s="7">
        <v>22.22839120008322</v>
      </c>
      <c r="G40" s="7">
        <v>19.988526729746159</v>
      </c>
      <c r="H40" s="7">
        <v>446.35136972292372</v>
      </c>
      <c r="I40" s="7">
        <v>143.99590584892911</v>
      </c>
      <c r="J40" s="7" t="s">
        <v>52</v>
      </c>
      <c r="K40" s="7" t="s">
        <v>52</v>
      </c>
      <c r="L40" s="7" t="s">
        <v>52</v>
      </c>
      <c r="M40" s="7" t="s">
        <v>52</v>
      </c>
      <c r="N40" s="7" t="s">
        <v>52</v>
      </c>
      <c r="O40" s="7" t="s">
        <v>52</v>
      </c>
      <c r="P40" s="7" t="s">
        <v>52</v>
      </c>
      <c r="Q40" s="7">
        <v>6.3540790580319424</v>
      </c>
      <c r="R40" s="7">
        <v>6.7703709747606871</v>
      </c>
      <c r="S40" s="7">
        <v>6.864076696953533</v>
      </c>
      <c r="T40" s="7" t="s">
        <v>52</v>
      </c>
      <c r="U40" s="7" t="s">
        <v>52</v>
      </c>
      <c r="V40" s="7" t="s">
        <v>52</v>
      </c>
      <c r="W40" s="7" t="s">
        <v>52</v>
      </c>
      <c r="X40" s="7" t="s">
        <v>52</v>
      </c>
      <c r="Y40" s="7" t="s">
        <v>52</v>
      </c>
      <c r="Z40" s="7" t="s">
        <v>52</v>
      </c>
      <c r="AA40" s="7" t="s">
        <v>52</v>
      </c>
      <c r="AB40" s="7" t="s">
        <v>52</v>
      </c>
      <c r="AC40" s="7" t="s">
        <v>52</v>
      </c>
      <c r="AD40" s="7" t="s">
        <v>52</v>
      </c>
      <c r="AE40" s="7" t="s">
        <v>52</v>
      </c>
    </row>
    <row r="41" spans="1:31" x14ac:dyDescent="0.3">
      <c r="A41" s="5" t="s">
        <v>188</v>
      </c>
      <c r="B41" s="7">
        <v>159.19919652727219</v>
      </c>
      <c r="C41" s="7">
        <v>2646.0803011425101</v>
      </c>
      <c r="D41" s="7">
        <v>1120.9721553798579</v>
      </c>
      <c r="E41" s="7">
        <v>575.25444877101882</v>
      </c>
      <c r="F41" s="7">
        <v>654.77917495928807</v>
      </c>
      <c r="G41" s="7">
        <v>648.17066230191529</v>
      </c>
      <c r="H41" s="7">
        <v>2816.5877029465641</v>
      </c>
      <c r="I41" s="7">
        <v>212.97600508016839</v>
      </c>
      <c r="J41" s="7" t="s">
        <v>52</v>
      </c>
      <c r="K41" s="7" t="s">
        <v>52</v>
      </c>
      <c r="L41" s="7" t="s">
        <v>52</v>
      </c>
      <c r="M41" s="7" t="s">
        <v>52</v>
      </c>
      <c r="N41" s="7" t="s">
        <v>52</v>
      </c>
      <c r="O41" s="7" t="s">
        <v>52</v>
      </c>
      <c r="P41" s="7" t="s">
        <v>52</v>
      </c>
      <c r="Q41" s="7">
        <v>190.62348536693341</v>
      </c>
      <c r="R41" s="7">
        <v>235.1594261098129</v>
      </c>
      <c r="S41" s="7">
        <v>222.38775082516889</v>
      </c>
      <c r="T41" s="7" t="s">
        <v>52</v>
      </c>
      <c r="U41" s="7" t="s">
        <v>52</v>
      </c>
      <c r="V41" s="7" t="s">
        <v>52</v>
      </c>
      <c r="W41" s="7" t="s">
        <v>52</v>
      </c>
      <c r="X41" s="7" t="s">
        <v>52</v>
      </c>
      <c r="Y41" s="7" t="s">
        <v>52</v>
      </c>
      <c r="Z41" s="7" t="s">
        <v>52</v>
      </c>
      <c r="AA41" s="7" t="s">
        <v>52</v>
      </c>
      <c r="AB41" s="7" t="s">
        <v>52</v>
      </c>
      <c r="AC41" s="7" t="s">
        <v>52</v>
      </c>
      <c r="AD41" s="7" t="s">
        <v>52</v>
      </c>
      <c r="AE41" s="7" t="s">
        <v>52</v>
      </c>
    </row>
    <row r="42" spans="1:31" x14ac:dyDescent="0.3">
      <c r="A42" s="5" t="s">
        <v>189</v>
      </c>
      <c r="B42" s="7">
        <v>234.230289585706</v>
      </c>
      <c r="C42" s="7">
        <v>3647.0618601324268</v>
      </c>
      <c r="D42" s="7">
        <v>1936.5534392686061</v>
      </c>
      <c r="E42" s="7">
        <v>822.8386926205792</v>
      </c>
      <c r="F42" s="7">
        <v>1033.384284789646</v>
      </c>
      <c r="G42" s="7">
        <v>1190.2995001757861</v>
      </c>
      <c r="H42" s="7">
        <v>3732.0127791187369</v>
      </c>
      <c r="I42" s="7">
        <v>234.23897277833149</v>
      </c>
      <c r="J42" s="7" t="s">
        <v>52</v>
      </c>
      <c r="K42" s="7" t="s">
        <v>52</v>
      </c>
      <c r="L42" s="7" t="s">
        <v>52</v>
      </c>
      <c r="M42" s="7" t="s">
        <v>52</v>
      </c>
      <c r="N42" s="7" t="s">
        <v>52</v>
      </c>
      <c r="O42" s="7" t="s">
        <v>52</v>
      </c>
      <c r="P42" s="7" t="s">
        <v>52</v>
      </c>
      <c r="Q42" s="7">
        <v>608.07192493975037</v>
      </c>
      <c r="R42" s="7">
        <v>291.71522731990842</v>
      </c>
      <c r="S42" s="7">
        <v>290.51234791612711</v>
      </c>
      <c r="T42" s="7" t="s">
        <v>52</v>
      </c>
      <c r="U42" s="7" t="s">
        <v>52</v>
      </c>
      <c r="V42" s="7" t="s">
        <v>52</v>
      </c>
      <c r="W42" s="7" t="s">
        <v>52</v>
      </c>
      <c r="X42" s="7" t="s">
        <v>52</v>
      </c>
      <c r="Y42" s="7" t="s">
        <v>52</v>
      </c>
      <c r="Z42" s="7" t="s">
        <v>52</v>
      </c>
      <c r="AA42" s="7" t="s">
        <v>52</v>
      </c>
      <c r="AB42" s="7" t="s">
        <v>52</v>
      </c>
      <c r="AC42" s="7" t="s">
        <v>52</v>
      </c>
      <c r="AD42" s="7" t="s">
        <v>52</v>
      </c>
      <c r="AE42" s="7" t="s">
        <v>52</v>
      </c>
    </row>
    <row r="43" spans="1:31" x14ac:dyDescent="0.3">
      <c r="A43" s="5" t="s">
        <v>190</v>
      </c>
      <c r="B43" s="7">
        <v>244.92707437106409</v>
      </c>
      <c r="C43" s="7">
        <v>3887.4890929941112</v>
      </c>
      <c r="D43" s="7">
        <v>2284.0850507121249</v>
      </c>
      <c r="E43" s="7">
        <v>1172.2666828401771</v>
      </c>
      <c r="F43" s="7">
        <v>1263.4426575438829</v>
      </c>
      <c r="G43" s="7">
        <v>1250.9813186958891</v>
      </c>
      <c r="H43" s="7">
        <v>3980.5360683738299</v>
      </c>
      <c r="I43" s="7">
        <v>249.698900105175</v>
      </c>
      <c r="J43" s="7" t="s">
        <v>52</v>
      </c>
      <c r="K43" s="7" t="s">
        <v>52</v>
      </c>
      <c r="L43" s="7" t="s">
        <v>52</v>
      </c>
      <c r="M43" s="7" t="s">
        <v>52</v>
      </c>
      <c r="N43" s="7" t="s">
        <v>52</v>
      </c>
      <c r="O43" s="7" t="s">
        <v>52</v>
      </c>
      <c r="P43" s="7" t="s">
        <v>52</v>
      </c>
      <c r="Q43" s="7">
        <v>664.78959439884034</v>
      </c>
      <c r="R43" s="7">
        <v>287.62869908696422</v>
      </c>
      <c r="S43" s="7">
        <v>298.56302521008399</v>
      </c>
      <c r="T43" s="7" t="s">
        <v>52</v>
      </c>
      <c r="U43" s="7" t="s">
        <v>52</v>
      </c>
      <c r="V43" s="7" t="s">
        <v>52</v>
      </c>
      <c r="W43" s="7" t="s">
        <v>52</v>
      </c>
      <c r="X43" s="7" t="s">
        <v>52</v>
      </c>
      <c r="Y43" s="7" t="s">
        <v>52</v>
      </c>
      <c r="Z43" s="7" t="s">
        <v>52</v>
      </c>
      <c r="AA43" s="7" t="s">
        <v>52</v>
      </c>
      <c r="AB43" s="7" t="s">
        <v>52</v>
      </c>
      <c r="AC43" s="7" t="s">
        <v>52</v>
      </c>
      <c r="AD43" s="7" t="s">
        <v>52</v>
      </c>
      <c r="AE43" s="7" t="s">
        <v>52</v>
      </c>
    </row>
    <row r="44" spans="1:31" x14ac:dyDescent="0.3">
      <c r="A44" s="5" t="s">
        <v>191</v>
      </c>
      <c r="B44" s="7">
        <v>274.44229875192201</v>
      </c>
      <c r="C44" s="7">
        <v>3864.8957079066231</v>
      </c>
      <c r="D44" s="7">
        <v>2993.9147916259112</v>
      </c>
      <c r="E44" s="7">
        <v>1222.368409087878</v>
      </c>
      <c r="F44" s="7">
        <v>1622.670890158495</v>
      </c>
      <c r="G44" s="7">
        <v>1256.063469631139</v>
      </c>
      <c r="H44" s="7">
        <v>4369.6163236666598</v>
      </c>
      <c r="I44" s="7">
        <v>255.21693709019351</v>
      </c>
      <c r="J44" s="7" t="s">
        <v>52</v>
      </c>
      <c r="K44" s="7" t="s">
        <v>52</v>
      </c>
      <c r="L44" s="7" t="s">
        <v>52</v>
      </c>
      <c r="M44" s="7" t="s">
        <v>52</v>
      </c>
      <c r="N44" s="7" t="s">
        <v>52</v>
      </c>
      <c r="O44" s="7" t="s">
        <v>52</v>
      </c>
      <c r="P44" s="7" t="s">
        <v>52</v>
      </c>
      <c r="Q44" s="7">
        <v>678.54040713384859</v>
      </c>
      <c r="R44" s="7">
        <v>275.10869661625759</v>
      </c>
      <c r="S44" s="7">
        <v>302.41436588103289</v>
      </c>
      <c r="T44" s="7" t="s">
        <v>52</v>
      </c>
      <c r="U44" s="7" t="s">
        <v>52</v>
      </c>
      <c r="V44" s="7" t="s">
        <v>52</v>
      </c>
      <c r="W44" s="7" t="s">
        <v>52</v>
      </c>
      <c r="X44" s="7" t="s">
        <v>52</v>
      </c>
      <c r="Y44" s="7" t="s">
        <v>52</v>
      </c>
      <c r="Z44" s="7" t="s">
        <v>52</v>
      </c>
      <c r="AA44" s="7" t="s">
        <v>52</v>
      </c>
      <c r="AB44" s="7" t="s">
        <v>52</v>
      </c>
      <c r="AC44" s="7" t="s">
        <v>52</v>
      </c>
      <c r="AD44" s="7" t="s">
        <v>52</v>
      </c>
      <c r="AE44" s="7" t="s">
        <v>52</v>
      </c>
    </row>
    <row r="45" spans="1:31" x14ac:dyDescent="0.3">
      <c r="A45" s="5" t="s">
        <v>192</v>
      </c>
      <c r="B45" s="7">
        <v>317.83599443671721</v>
      </c>
      <c r="C45" s="7">
        <v>4196.6667074425422</v>
      </c>
      <c r="D45" s="7">
        <v>3158.040591416257</v>
      </c>
      <c r="E45" s="7">
        <v>1601.6119103926439</v>
      </c>
      <c r="F45" s="7">
        <v>1598.826782387423</v>
      </c>
      <c r="G45" s="7">
        <v>1282.6917972460151</v>
      </c>
      <c r="H45" s="7">
        <v>4510.5871876257224</v>
      </c>
      <c r="I45" s="7">
        <v>273.55582091174932</v>
      </c>
      <c r="J45" s="7" t="s">
        <v>52</v>
      </c>
      <c r="K45" s="7" t="s">
        <v>52</v>
      </c>
      <c r="L45" s="7" t="s">
        <v>52</v>
      </c>
      <c r="M45" s="7" t="s">
        <v>52</v>
      </c>
      <c r="N45" s="7" t="s">
        <v>52</v>
      </c>
      <c r="O45" s="7" t="s">
        <v>52</v>
      </c>
      <c r="P45" s="7" t="s">
        <v>52</v>
      </c>
      <c r="Q45" s="7">
        <v>707.36751307347936</v>
      </c>
      <c r="R45" s="7">
        <v>269.57805088400221</v>
      </c>
      <c r="S45" s="7">
        <v>305.7462332885334</v>
      </c>
      <c r="T45" s="7" t="s">
        <v>52</v>
      </c>
      <c r="U45" s="7" t="s">
        <v>52</v>
      </c>
      <c r="V45" s="7" t="s">
        <v>52</v>
      </c>
      <c r="W45" s="7" t="s">
        <v>52</v>
      </c>
      <c r="X45" s="7" t="s">
        <v>52</v>
      </c>
      <c r="Y45" s="7" t="s">
        <v>52</v>
      </c>
      <c r="Z45" s="7" t="s">
        <v>52</v>
      </c>
      <c r="AA45" s="7" t="s">
        <v>52</v>
      </c>
      <c r="AB45" s="7" t="s">
        <v>52</v>
      </c>
      <c r="AC45" s="7" t="s">
        <v>52</v>
      </c>
      <c r="AD45" s="7" t="s">
        <v>52</v>
      </c>
      <c r="AE45" s="7" t="s">
        <v>52</v>
      </c>
    </row>
    <row r="46" spans="1:31" x14ac:dyDescent="0.3">
      <c r="A46" s="5" t="s">
        <v>193</v>
      </c>
      <c r="B46" s="7">
        <v>370.78520403170592</v>
      </c>
      <c r="C46" s="7">
        <v>4530.1836879344664</v>
      </c>
      <c r="D46" s="7">
        <v>4029.2754859371548</v>
      </c>
      <c r="E46" s="7">
        <v>1760.7710363024939</v>
      </c>
      <c r="F46" s="7">
        <v>1938.559846555564</v>
      </c>
      <c r="G46" s="7">
        <v>1330.8197023042089</v>
      </c>
      <c r="H46" s="7">
        <v>4833.9540063372633</v>
      </c>
      <c r="I46" s="7">
        <v>291.81815141853559</v>
      </c>
      <c r="J46" s="7" t="s">
        <v>52</v>
      </c>
      <c r="K46" s="7" t="s">
        <v>52</v>
      </c>
      <c r="L46" s="7" t="s">
        <v>52</v>
      </c>
      <c r="M46" s="7" t="s">
        <v>52</v>
      </c>
      <c r="N46" s="7" t="s">
        <v>52</v>
      </c>
      <c r="O46" s="7" t="s">
        <v>52</v>
      </c>
      <c r="P46" s="7" t="s">
        <v>52</v>
      </c>
      <c r="Q46" s="7">
        <v>727.46361626126793</v>
      </c>
      <c r="R46" s="7">
        <v>298.21127414561693</v>
      </c>
      <c r="S46" s="7">
        <v>305.14481189732419</v>
      </c>
      <c r="T46" s="7" t="s">
        <v>52</v>
      </c>
      <c r="U46" s="7" t="s">
        <v>52</v>
      </c>
      <c r="V46" s="7" t="s">
        <v>52</v>
      </c>
      <c r="W46" s="7" t="s">
        <v>52</v>
      </c>
      <c r="X46" s="7" t="s">
        <v>52</v>
      </c>
      <c r="Y46" s="7" t="s">
        <v>52</v>
      </c>
      <c r="Z46" s="7" t="s">
        <v>52</v>
      </c>
      <c r="AA46" s="7" t="s">
        <v>52</v>
      </c>
      <c r="AB46" s="7" t="s">
        <v>52</v>
      </c>
      <c r="AC46" s="7" t="s">
        <v>52</v>
      </c>
      <c r="AD46" s="7" t="s">
        <v>52</v>
      </c>
      <c r="AE46" s="7" t="s">
        <v>52</v>
      </c>
    </row>
    <row r="47" spans="1:31" x14ac:dyDescent="0.3">
      <c r="A47" t="s">
        <v>194</v>
      </c>
      <c r="B47" s="7">
        <v>408.85783607955972</v>
      </c>
      <c r="C47" s="7">
        <v>4651.6643353903819</v>
      </c>
      <c r="D47" s="7">
        <v>4342.1894577035564</v>
      </c>
      <c r="E47" s="7">
        <v>1897.34185526134</v>
      </c>
      <c r="F47" s="7">
        <v>2111.277308653644</v>
      </c>
      <c r="G47" s="7">
        <v>1341.177408892938</v>
      </c>
      <c r="H47" s="7">
        <v>5170.027245900721</v>
      </c>
      <c r="I47" s="7">
        <v>299.27959442953681</v>
      </c>
      <c r="J47" s="7" t="s">
        <v>52</v>
      </c>
      <c r="K47" s="7" t="s">
        <v>52</v>
      </c>
      <c r="L47" s="7" t="s">
        <v>52</v>
      </c>
      <c r="M47" s="7" t="s">
        <v>52</v>
      </c>
      <c r="N47" s="7" t="s">
        <v>52</v>
      </c>
      <c r="O47" s="7" t="s">
        <v>52</v>
      </c>
      <c r="P47" s="7" t="s">
        <v>52</v>
      </c>
      <c r="Q47" s="7">
        <v>739.64475619413713</v>
      </c>
      <c r="R47" s="7">
        <v>314.36423955191742</v>
      </c>
      <c r="S47" s="7">
        <v>287.16841314688321</v>
      </c>
      <c r="T47" s="7" t="s">
        <v>52</v>
      </c>
      <c r="U47" s="7" t="s">
        <v>52</v>
      </c>
      <c r="V47" s="7" t="s">
        <v>52</v>
      </c>
      <c r="W47" s="7" t="s">
        <v>52</v>
      </c>
      <c r="X47" s="7" t="s">
        <v>52</v>
      </c>
      <c r="Y47" s="7" t="s">
        <v>52</v>
      </c>
      <c r="Z47" s="7" t="s">
        <v>52</v>
      </c>
      <c r="AA47" s="7" t="s">
        <v>52</v>
      </c>
      <c r="AB47" s="7" t="s">
        <v>52</v>
      </c>
      <c r="AC47" s="7" t="s">
        <v>52</v>
      </c>
      <c r="AD47" s="7" t="s">
        <v>52</v>
      </c>
      <c r="AE47" s="7" t="s">
        <v>52</v>
      </c>
    </row>
    <row r="48" spans="1:31" x14ac:dyDescent="0.3">
      <c r="A48" t="s">
        <v>195</v>
      </c>
      <c r="B48" s="7">
        <v>444.10876040163362</v>
      </c>
      <c r="C48" s="7">
        <v>4968.1486354322942</v>
      </c>
      <c r="D48" s="7">
        <v>4398.5720427236274</v>
      </c>
      <c r="E48" s="7">
        <v>1925.2395451757111</v>
      </c>
      <c r="F48" s="7">
        <v>2172.7435279614519</v>
      </c>
      <c r="G48" s="7">
        <v>1372.8565866081799</v>
      </c>
      <c r="H48" s="7">
        <v>5430.7142662586166</v>
      </c>
      <c r="I48" s="7">
        <v>307.03334052485638</v>
      </c>
      <c r="J48" s="7" t="s">
        <v>52</v>
      </c>
      <c r="K48" s="7" t="s">
        <v>52</v>
      </c>
      <c r="L48" s="7" t="s">
        <v>52</v>
      </c>
      <c r="M48" s="7" t="s">
        <v>52</v>
      </c>
      <c r="N48" s="7" t="s">
        <v>52</v>
      </c>
      <c r="O48" s="7" t="s">
        <v>52</v>
      </c>
      <c r="P48" s="7" t="s">
        <v>52</v>
      </c>
      <c r="Q48" s="7">
        <v>747.24738723872554</v>
      </c>
      <c r="R48" s="7">
        <v>305.88486825076268</v>
      </c>
      <c r="S48" s="7">
        <v>319.72433111869202</v>
      </c>
      <c r="T48" s="7" t="s">
        <v>52</v>
      </c>
      <c r="U48" s="7" t="s">
        <v>52</v>
      </c>
      <c r="V48" s="7" t="s">
        <v>52</v>
      </c>
      <c r="W48" s="7" t="s">
        <v>52</v>
      </c>
      <c r="X48" s="7" t="s">
        <v>52</v>
      </c>
      <c r="Y48" s="7" t="s">
        <v>52</v>
      </c>
      <c r="Z48" s="7" t="s">
        <v>52</v>
      </c>
      <c r="AA48" s="7" t="s">
        <v>52</v>
      </c>
      <c r="AB48" s="7" t="s">
        <v>52</v>
      </c>
      <c r="AC48" s="7" t="s">
        <v>52</v>
      </c>
      <c r="AD48" s="7" t="s">
        <v>52</v>
      </c>
      <c r="AE48" s="7" t="s">
        <v>52</v>
      </c>
    </row>
    <row r="49" spans="1:31" x14ac:dyDescent="0.3">
      <c r="A49" t="s">
        <v>196</v>
      </c>
      <c r="B49" s="7">
        <v>450.46622805567461</v>
      </c>
      <c r="C49" s="7">
        <v>4728.9109142120979</v>
      </c>
      <c r="D49" s="7">
        <v>4711.1319959879702</v>
      </c>
      <c r="E49" s="7">
        <v>2177.0875943320211</v>
      </c>
      <c r="F49" s="7">
        <v>2450.3124269859818</v>
      </c>
      <c r="G49" s="7">
        <v>1392.368559843283</v>
      </c>
      <c r="H49" s="7">
        <v>5647.668235255609</v>
      </c>
      <c r="I49" s="7">
        <v>313.5320421424147</v>
      </c>
      <c r="J49" s="7" t="s">
        <v>52</v>
      </c>
      <c r="K49" s="7" t="s">
        <v>52</v>
      </c>
      <c r="L49" s="7" t="s">
        <v>52</v>
      </c>
      <c r="M49" s="7" t="s">
        <v>52</v>
      </c>
      <c r="N49" s="7" t="s">
        <v>52</v>
      </c>
      <c r="O49" s="7" t="s">
        <v>52</v>
      </c>
      <c r="P49" s="7" t="s">
        <v>52</v>
      </c>
      <c r="Q49" s="7">
        <v>750.11190581682456</v>
      </c>
      <c r="R49" s="7">
        <v>318.41188185780771</v>
      </c>
      <c r="S49" s="7">
        <v>323.84477216865128</v>
      </c>
      <c r="T49" s="7" t="s">
        <v>52</v>
      </c>
      <c r="U49" s="7" t="s">
        <v>52</v>
      </c>
      <c r="V49" s="7" t="s">
        <v>52</v>
      </c>
      <c r="W49" s="7" t="s">
        <v>52</v>
      </c>
      <c r="X49" s="7" t="s">
        <v>52</v>
      </c>
      <c r="Y49" s="7" t="s">
        <v>52</v>
      </c>
      <c r="Z49" s="7" t="s">
        <v>52</v>
      </c>
      <c r="AA49" s="7" t="s">
        <v>52</v>
      </c>
      <c r="AB49" s="7" t="s">
        <v>52</v>
      </c>
      <c r="AC49" s="7" t="s">
        <v>52</v>
      </c>
      <c r="AD49" s="7" t="s">
        <v>52</v>
      </c>
      <c r="AE49" s="7" t="s">
        <v>52</v>
      </c>
    </row>
    <row r="50" spans="1:31" x14ac:dyDescent="0.3">
      <c r="A50" t="s">
        <v>197</v>
      </c>
      <c r="B50" s="7">
        <v>458.95669786282912</v>
      </c>
      <c r="C50" s="7">
        <v>5035.4331243222587</v>
      </c>
      <c r="D50" s="7">
        <v>5328.3585372287698</v>
      </c>
      <c r="E50" s="7">
        <v>2303.0393994731212</v>
      </c>
      <c r="F50" s="7">
        <v>2634.0347741953829</v>
      </c>
      <c r="G50" s="7">
        <v>1368.236017400634</v>
      </c>
      <c r="H50" s="7">
        <v>5937.9477185987807</v>
      </c>
      <c r="I50" s="7">
        <v>332.76066979828693</v>
      </c>
      <c r="J50" s="7" t="s">
        <v>52</v>
      </c>
      <c r="K50" s="7" t="s">
        <v>52</v>
      </c>
      <c r="L50" s="7" t="s">
        <v>52</v>
      </c>
      <c r="M50" s="7" t="s">
        <v>52</v>
      </c>
      <c r="N50" s="7" t="s">
        <v>52</v>
      </c>
      <c r="O50" s="7" t="s">
        <v>52</v>
      </c>
      <c r="P50" s="7" t="s">
        <v>52</v>
      </c>
      <c r="Q50" s="7">
        <v>769.92022962899375</v>
      </c>
      <c r="R50" s="7">
        <v>311.01693853300219</v>
      </c>
      <c r="S50" s="7">
        <v>287.29884923863762</v>
      </c>
      <c r="T50" s="7" t="s">
        <v>52</v>
      </c>
      <c r="U50" s="7" t="s">
        <v>52</v>
      </c>
      <c r="V50" s="7" t="s">
        <v>52</v>
      </c>
      <c r="W50" s="7" t="s">
        <v>52</v>
      </c>
      <c r="X50" s="7" t="s">
        <v>52</v>
      </c>
      <c r="Y50" s="7" t="s">
        <v>52</v>
      </c>
      <c r="Z50" s="7" t="s">
        <v>52</v>
      </c>
      <c r="AA50" s="7" t="s">
        <v>52</v>
      </c>
      <c r="AB50" s="7" t="s">
        <v>52</v>
      </c>
      <c r="AC50" s="7" t="s">
        <v>52</v>
      </c>
      <c r="AD50" s="7" t="s">
        <v>52</v>
      </c>
      <c r="AE50" s="7" t="s">
        <v>52</v>
      </c>
    </row>
    <row r="51" spans="1:31" x14ac:dyDescent="0.3">
      <c r="A51" t="s">
        <v>206</v>
      </c>
      <c r="B51">
        <v>10.590481441913308</v>
      </c>
      <c r="C51">
        <v>203.93184935131171</v>
      </c>
      <c r="D51">
        <v>26.536490808645429</v>
      </c>
      <c r="E51">
        <v>16.291410844252702</v>
      </c>
      <c r="F51">
        <v>17.710054508438997</v>
      </c>
      <c r="G51">
        <v>22.211113908821936</v>
      </c>
      <c r="H51">
        <v>552.58271589784306</v>
      </c>
      <c r="I51">
        <v>141.44130514312889</v>
      </c>
      <c r="J51">
        <v>97.447001168456623</v>
      </c>
      <c r="K51">
        <v>58.095542362199616</v>
      </c>
      <c r="L51">
        <v>48.389305820655451</v>
      </c>
      <c r="M51">
        <v>26.536490808645429</v>
      </c>
      <c r="N51" t="s">
        <v>52</v>
      </c>
      <c r="O51">
        <v>16.291410844252702</v>
      </c>
      <c r="P51">
        <v>17.710054508438997</v>
      </c>
      <c r="Q51">
        <v>10.384910782269051</v>
      </c>
      <c r="R51">
        <v>5.7455991602067433</v>
      </c>
      <c r="S51">
        <v>6.0806039663461409</v>
      </c>
      <c r="T51">
        <v>69.657644157222649</v>
      </c>
      <c r="U51">
        <v>119.92995793047433</v>
      </c>
      <c r="V51">
        <v>63.237076849481028</v>
      </c>
      <c r="W51">
        <v>108.19778857757899</v>
      </c>
      <c r="X51">
        <v>82.002653045062445</v>
      </c>
      <c r="Y51">
        <v>109.55759533802357</v>
      </c>
      <c r="Z51">
        <v>20.458709549858337</v>
      </c>
      <c r="AA51">
        <v>26.4829059829061</v>
      </c>
      <c r="AB51">
        <v>20.188313819892738</v>
      </c>
      <c r="AC51">
        <v>27.904076448530301</v>
      </c>
      <c r="AD51">
        <v>20.361544687247083</v>
      </c>
      <c r="AE51">
        <v>26.045754654694314</v>
      </c>
    </row>
    <row r="52" spans="1:31" x14ac:dyDescent="0.3">
      <c r="A52" t="s">
        <v>207</v>
      </c>
      <c r="B52">
        <v>125.60245381952755</v>
      </c>
      <c r="C52">
        <v>2135.1253008525428</v>
      </c>
      <c r="D52">
        <v>771.66872269339376</v>
      </c>
      <c r="E52">
        <v>455.05114519815476</v>
      </c>
      <c r="F52">
        <v>324.05616794992409</v>
      </c>
      <c r="G52">
        <v>39.231876121606263</v>
      </c>
      <c r="H52">
        <v>539.32754782163295</v>
      </c>
      <c r="I52">
        <v>172.60970603213789</v>
      </c>
      <c r="J52">
        <v>606.46529499095789</v>
      </c>
      <c r="K52">
        <v>605.3391811962008</v>
      </c>
      <c r="L52">
        <v>923.32082466538407</v>
      </c>
      <c r="M52">
        <v>771.66872269339376</v>
      </c>
      <c r="N52" t="s">
        <v>52</v>
      </c>
      <c r="O52">
        <v>455.05114519815476</v>
      </c>
      <c r="P52">
        <v>324.05616794992409</v>
      </c>
      <c r="Q52">
        <v>21.210134964505222</v>
      </c>
      <c r="R52">
        <v>5.8935561228437194</v>
      </c>
      <c r="S52">
        <v>12.128185034257324</v>
      </c>
      <c r="T52">
        <v>91.255203877958095</v>
      </c>
      <c r="U52">
        <v>100.94281690849175</v>
      </c>
      <c r="V52">
        <v>80.769947949436585</v>
      </c>
      <c r="W52">
        <v>111.9845817468992</v>
      </c>
      <c r="X52">
        <v>64.517118863049319</v>
      </c>
      <c r="Y52">
        <v>89.857878475797989</v>
      </c>
      <c r="Z52">
        <v>31.845723226703786</v>
      </c>
      <c r="AA52">
        <v>37.653972153972155</v>
      </c>
      <c r="AB52">
        <v>22.022260967028924</v>
      </c>
      <c r="AC52">
        <v>30.939054874419714</v>
      </c>
      <c r="AD52">
        <v>22.83169070871784</v>
      </c>
      <c r="AE52">
        <v>27.317004101295492</v>
      </c>
    </row>
    <row r="53" spans="1:31" x14ac:dyDescent="0.3">
      <c r="A53" t="s">
        <v>208</v>
      </c>
      <c r="B53">
        <v>170.0136112292642</v>
      </c>
      <c r="C53">
        <v>2432.7316014552553</v>
      </c>
      <c r="D53">
        <v>1285.7283908332302</v>
      </c>
      <c r="E53">
        <v>733.13092600037021</v>
      </c>
      <c r="F53">
        <v>514.88999692633547</v>
      </c>
      <c r="G53">
        <v>36.87964045377219</v>
      </c>
      <c r="H53">
        <v>555.16506476240227</v>
      </c>
      <c r="I53">
        <v>190.45609650474128</v>
      </c>
      <c r="J53">
        <v>661.70013740508125</v>
      </c>
      <c r="K53">
        <v>1099.4968614532893</v>
      </c>
      <c r="L53">
        <v>671.53460259688472</v>
      </c>
      <c r="M53">
        <v>1285.7283908332302</v>
      </c>
      <c r="N53" t="s">
        <v>52</v>
      </c>
      <c r="O53">
        <v>733.13092600037021</v>
      </c>
      <c r="P53">
        <v>514.88999692633547</v>
      </c>
      <c r="Q53">
        <v>13.140320803232461</v>
      </c>
      <c r="R53">
        <v>10.371847133757951</v>
      </c>
      <c r="S53">
        <v>13.367472516781778</v>
      </c>
      <c r="T53">
        <v>89.140620670545786</v>
      </c>
      <c r="U53">
        <v>78.104296329825274</v>
      </c>
      <c r="V53">
        <v>94.015402886241503</v>
      </c>
      <c r="W53">
        <v>111.08499371152465</v>
      </c>
      <c r="X53">
        <v>93.328160291439019</v>
      </c>
      <c r="Y53">
        <v>89.491590872826009</v>
      </c>
      <c r="Z53">
        <v>41.651448910898836</v>
      </c>
      <c r="AA53">
        <v>40.586619406291497</v>
      </c>
      <c r="AB53">
        <v>22.534136861528786</v>
      </c>
      <c r="AC53">
        <v>29.570210673006038</v>
      </c>
      <c r="AD53">
        <v>23.799067107199406</v>
      </c>
      <c r="AE53">
        <v>32.314613545816677</v>
      </c>
    </row>
    <row r="54" spans="1:31" x14ac:dyDescent="0.3">
      <c r="A54" t="s">
        <v>209</v>
      </c>
      <c r="B54">
        <v>208.9975965765874</v>
      </c>
      <c r="C54">
        <v>3071.9773452852069</v>
      </c>
      <c r="D54">
        <v>1682.8649141520134</v>
      </c>
      <c r="E54">
        <v>939.32739050208818</v>
      </c>
      <c r="F54">
        <v>706.5509517130813</v>
      </c>
      <c r="G54">
        <v>28.344814667151482</v>
      </c>
      <c r="H54">
        <v>566.08974824012762</v>
      </c>
      <c r="I54">
        <v>199.68048059660288</v>
      </c>
      <c r="J54">
        <v>984.73241443117524</v>
      </c>
      <c r="K54">
        <v>912.92042476801362</v>
      </c>
      <c r="L54">
        <v>1174.3245060860183</v>
      </c>
      <c r="M54">
        <v>1682.8649141520134</v>
      </c>
      <c r="N54" t="s">
        <v>52</v>
      </c>
      <c r="O54">
        <v>939.32739050208818</v>
      </c>
      <c r="P54">
        <v>706.5509517130813</v>
      </c>
      <c r="Q54">
        <v>13.365448504983421</v>
      </c>
      <c r="R54">
        <v>6.4534635433020986</v>
      </c>
      <c r="S54">
        <v>8.5259026188659632</v>
      </c>
      <c r="T54">
        <v>76.396238945786294</v>
      </c>
      <c r="U54">
        <v>93.256321876107577</v>
      </c>
      <c r="V54">
        <v>79.122858230739794</v>
      </c>
      <c r="W54">
        <v>101.20252469813386</v>
      </c>
      <c r="X54">
        <v>102.99662265888837</v>
      </c>
      <c r="Y54">
        <v>113.11518183047176</v>
      </c>
      <c r="Z54">
        <v>47.864508260339385</v>
      </c>
      <c r="AA54">
        <v>45.943820565739905</v>
      </c>
      <c r="AB54">
        <v>22.991884080921665</v>
      </c>
      <c r="AC54">
        <v>30.225732795242287</v>
      </c>
      <c r="AD54">
        <v>23.729551179887856</v>
      </c>
      <c r="AE54">
        <v>28.924983714471775</v>
      </c>
    </row>
    <row r="55" spans="1:31" x14ac:dyDescent="0.3">
      <c r="A55" t="s">
        <v>210</v>
      </c>
      <c r="B55">
        <v>261.27210576015125</v>
      </c>
      <c r="C55">
        <v>3251.5989074343051</v>
      </c>
      <c r="D55">
        <v>2182.1927375516475</v>
      </c>
      <c r="E55">
        <v>1198.7398906930293</v>
      </c>
      <c r="F55">
        <v>946.78811985389825</v>
      </c>
      <c r="G55">
        <v>38.149295692781941</v>
      </c>
      <c r="H55">
        <v>529.59323200419954</v>
      </c>
      <c r="I55">
        <v>205.66302427827469</v>
      </c>
      <c r="J55">
        <v>1070.4877944101095</v>
      </c>
      <c r="K55">
        <v>1007.784164111767</v>
      </c>
      <c r="L55">
        <v>1173.3269489124289</v>
      </c>
      <c r="M55">
        <v>2182.1927375516475</v>
      </c>
      <c r="N55" t="s">
        <v>52</v>
      </c>
      <c r="O55">
        <v>1198.7398906930293</v>
      </c>
      <c r="P55">
        <v>946.78811985389825</v>
      </c>
      <c r="Q55">
        <v>21.260576720690391</v>
      </c>
      <c r="R55">
        <v>10.455497936289584</v>
      </c>
      <c r="S55">
        <v>6.4332210358019628</v>
      </c>
      <c r="T55">
        <v>90.424273475080597</v>
      </c>
      <c r="U55">
        <v>120.14969791230467</v>
      </c>
      <c r="V55">
        <v>77.861793670523213</v>
      </c>
      <c r="W55">
        <v>79.690015523834674</v>
      </c>
      <c r="X55">
        <v>71.884194809186653</v>
      </c>
      <c r="Y55">
        <v>89.583256613269654</v>
      </c>
      <c r="Z55">
        <v>53.258580550751674</v>
      </c>
      <c r="AA55">
        <v>47.424231010671718</v>
      </c>
      <c r="AB55">
        <v>22.81531767666182</v>
      </c>
      <c r="AC55">
        <v>30.08776311095259</v>
      </c>
      <c r="AD55">
        <v>23.213413101402491</v>
      </c>
      <c r="AE55">
        <v>28.863718827834383</v>
      </c>
    </row>
    <row r="56" spans="1:31" x14ac:dyDescent="0.3">
      <c r="A56" t="s">
        <v>211</v>
      </c>
      <c r="B56">
        <v>305.20732864060705</v>
      </c>
      <c r="C56">
        <v>3369.7357022911483</v>
      </c>
      <c r="D56">
        <v>2318.0721605465396</v>
      </c>
      <c r="E56">
        <v>1411.8253955498976</v>
      </c>
      <c r="F56">
        <v>1069.5876244050203</v>
      </c>
      <c r="G56">
        <v>28.671304213417674</v>
      </c>
      <c r="H56">
        <v>580.45328319382088</v>
      </c>
      <c r="I56">
        <v>220.55600785955605</v>
      </c>
      <c r="J56">
        <v>1047.2930038360607</v>
      </c>
      <c r="K56">
        <v>1163.9896880186488</v>
      </c>
      <c r="L56">
        <v>1158.4530104364387</v>
      </c>
      <c r="M56">
        <v>2318.0721605465396</v>
      </c>
      <c r="N56" t="s">
        <v>52</v>
      </c>
      <c r="O56">
        <v>1411.8253955498976</v>
      </c>
      <c r="P56">
        <v>1069.5876244050203</v>
      </c>
      <c r="Q56">
        <v>12.79427061488127</v>
      </c>
      <c r="R56">
        <v>10.180153685608591</v>
      </c>
      <c r="S56">
        <v>5.6968799129278125</v>
      </c>
      <c r="T56">
        <v>83.297385902855751</v>
      </c>
      <c r="U56">
        <v>97.823141680099823</v>
      </c>
      <c r="V56">
        <v>84.58058613937672</v>
      </c>
      <c r="W56">
        <v>106.46726136452057</v>
      </c>
      <c r="X56">
        <v>87.442018266015083</v>
      </c>
      <c r="Y56">
        <v>120.84288984095298</v>
      </c>
      <c r="Z56">
        <v>59.391643724696358</v>
      </c>
      <c r="AA56">
        <v>55.072741483398019</v>
      </c>
      <c r="AB56">
        <v>23.149183767127727</v>
      </c>
      <c r="AC56">
        <v>30.607183006922632</v>
      </c>
      <c r="AD56">
        <v>23.489042714840426</v>
      </c>
      <c r="AE56">
        <v>28.846213162570873</v>
      </c>
    </row>
    <row r="57" spans="1:31" x14ac:dyDescent="0.3">
      <c r="A57" t="s">
        <v>212</v>
      </c>
      <c r="B57">
        <v>347.12753257188746</v>
      </c>
      <c r="C57">
        <v>3630.2020854818543</v>
      </c>
      <c r="D57">
        <v>2662.8572455683616</v>
      </c>
      <c r="E57">
        <v>1597.1348407209532</v>
      </c>
      <c r="F57">
        <v>1236.8595626140707</v>
      </c>
      <c r="G57">
        <v>32.941563252568585</v>
      </c>
      <c r="H57">
        <v>587.85815692335734</v>
      </c>
      <c r="I57">
        <v>228.78030406398503</v>
      </c>
      <c r="J57">
        <v>1251.6707712553768</v>
      </c>
      <c r="K57">
        <v>1189.8846033978582</v>
      </c>
      <c r="L57">
        <v>1188.6467108286192</v>
      </c>
      <c r="M57">
        <v>2662.8572455683616</v>
      </c>
      <c r="N57" t="s">
        <v>52</v>
      </c>
      <c r="O57">
        <v>1597.1348407209532</v>
      </c>
      <c r="P57">
        <v>1236.8595626140707</v>
      </c>
      <c r="Q57">
        <v>14.062141760891974</v>
      </c>
      <c r="R57">
        <v>10.195671886871079</v>
      </c>
      <c r="S57">
        <v>8.683749604805536</v>
      </c>
      <c r="T57">
        <v>67.363497070752544</v>
      </c>
      <c r="U57">
        <v>117.35960054203709</v>
      </c>
      <c r="V57">
        <v>79.703431091762852</v>
      </c>
      <c r="W57">
        <v>128.21129249410964</v>
      </c>
      <c r="X57">
        <v>91.815835743860745</v>
      </c>
      <c r="Y57">
        <v>103.40449998083444</v>
      </c>
      <c r="Z57">
        <v>66.229320206015444</v>
      </c>
      <c r="AA57">
        <v>57.228969472428851</v>
      </c>
      <c r="AB57">
        <v>25.318188251946125</v>
      </c>
      <c r="AC57">
        <v>28.737707043531774</v>
      </c>
      <c r="AD57">
        <v>23.725717922201778</v>
      </c>
      <c r="AE57">
        <v>27.540401167861095</v>
      </c>
    </row>
    <row r="58" spans="1:31" x14ac:dyDescent="0.3">
      <c r="A58" t="s">
        <v>213</v>
      </c>
      <c r="B58">
        <v>388.67634265166413</v>
      </c>
      <c r="C58">
        <v>3649.4767825605413</v>
      </c>
      <c r="D58">
        <v>2988.5006693838714</v>
      </c>
      <c r="E58">
        <v>1696.3908494351197</v>
      </c>
      <c r="F58">
        <v>1331.9325552864211</v>
      </c>
      <c r="G58">
        <v>38.357692862217029</v>
      </c>
      <c r="H58">
        <v>595.09912513695053</v>
      </c>
      <c r="I58">
        <v>238.20604736152617</v>
      </c>
      <c r="J58">
        <v>1249.5843099966542</v>
      </c>
      <c r="K58">
        <v>1191.2246432476311</v>
      </c>
      <c r="L58">
        <v>1208.6678293162561</v>
      </c>
      <c r="M58">
        <v>2988.5006693838714</v>
      </c>
      <c r="N58" t="s">
        <v>52</v>
      </c>
      <c r="O58">
        <v>1696.3908494351197</v>
      </c>
      <c r="P58">
        <v>1331.9325552864211</v>
      </c>
      <c r="Q58">
        <v>16.218844892505782</v>
      </c>
      <c r="R58">
        <v>15.756417967142559</v>
      </c>
      <c r="S58">
        <v>6.3824300025686878</v>
      </c>
      <c r="T58">
        <v>99.319831412479914</v>
      </c>
      <c r="U58">
        <v>99.85963517193187</v>
      </c>
      <c r="V58">
        <v>88.239663518768324</v>
      </c>
      <c r="W58">
        <v>104.12208530805664</v>
      </c>
      <c r="X58">
        <v>95.552303603071778</v>
      </c>
      <c r="Y58">
        <v>108.00560612264195</v>
      </c>
      <c r="Z58">
        <v>71.918856337460866</v>
      </c>
      <c r="AA58">
        <v>58.207551321952835</v>
      </c>
      <c r="AB58">
        <v>25.591764424227868</v>
      </c>
      <c r="AC58">
        <v>30.073214596507583</v>
      </c>
      <c r="AD58">
        <v>23.756273271814834</v>
      </c>
      <c r="AE58">
        <v>28.65838740956216</v>
      </c>
    </row>
    <row r="59" spans="1:31" x14ac:dyDescent="0.3">
      <c r="A59" t="s">
        <v>214</v>
      </c>
      <c r="B59">
        <v>388.03676162884267</v>
      </c>
      <c r="C59">
        <v>3940.5861281628722</v>
      </c>
      <c r="D59">
        <v>3343.7312141168495</v>
      </c>
      <c r="E59">
        <v>2050.4948460613186</v>
      </c>
      <c r="F59">
        <v>1461.7062893081747</v>
      </c>
      <c r="G59">
        <v>32.182363152552611</v>
      </c>
      <c r="H59">
        <v>529.64438709459182</v>
      </c>
      <c r="I59">
        <v>249.48255123214639</v>
      </c>
      <c r="J59">
        <v>1258.551432868408</v>
      </c>
      <c r="K59">
        <v>1423.6668794159752</v>
      </c>
      <c r="L59">
        <v>1258.367815878489</v>
      </c>
      <c r="M59">
        <v>3343.7312141168495</v>
      </c>
      <c r="N59" t="s">
        <v>52</v>
      </c>
      <c r="O59">
        <v>2050.4948460613186</v>
      </c>
      <c r="P59">
        <v>1461.7062893081747</v>
      </c>
      <c r="Q59">
        <v>14.146379386939099</v>
      </c>
      <c r="R59">
        <v>9.6276099511328415</v>
      </c>
      <c r="S59">
        <v>8.4083738144806688</v>
      </c>
      <c r="T59">
        <v>68.708588864384623</v>
      </c>
      <c r="U59">
        <v>115.62785455258263</v>
      </c>
      <c r="V59">
        <v>68.414964585735461</v>
      </c>
      <c r="W59">
        <v>93.040326340326146</v>
      </c>
      <c r="X59">
        <v>79.454311873484514</v>
      </c>
      <c r="Y59">
        <v>104.39834087807849</v>
      </c>
      <c r="Z59">
        <v>77.269280787063124</v>
      </c>
      <c r="AA59">
        <v>65.236948615673228</v>
      </c>
      <c r="AB59">
        <v>23.474143247291035</v>
      </c>
      <c r="AC59">
        <v>28.169248397911929</v>
      </c>
      <c r="AD59">
        <v>23.27932633748711</v>
      </c>
      <c r="AE59">
        <v>32.053603846719973</v>
      </c>
    </row>
    <row r="60" spans="1:31" x14ac:dyDescent="0.3">
      <c r="A60" t="s">
        <v>215</v>
      </c>
      <c r="B60">
        <v>404.38215588160415</v>
      </c>
      <c r="C60">
        <v>4019.4916416854367</v>
      </c>
      <c r="D60">
        <v>3789.7134397990394</v>
      </c>
      <c r="E60">
        <v>2189.2546569523515</v>
      </c>
      <c r="F60">
        <v>1703.3793381969761</v>
      </c>
      <c r="G60">
        <v>28.935670260549127</v>
      </c>
      <c r="H60">
        <v>535.9418778375998</v>
      </c>
      <c r="I60">
        <v>258.20080790615089</v>
      </c>
      <c r="J60">
        <v>1432.9635313050323</v>
      </c>
      <c r="K60">
        <v>1201.5090730887173</v>
      </c>
      <c r="L60">
        <v>1385.0190372916868</v>
      </c>
      <c r="M60">
        <v>3789.7134397990394</v>
      </c>
      <c r="N60" t="s">
        <v>52</v>
      </c>
      <c r="O60">
        <v>2189.2546569523515</v>
      </c>
      <c r="P60">
        <v>1703.3793381969761</v>
      </c>
      <c r="Q60">
        <v>14.260559289685482</v>
      </c>
      <c r="R60">
        <v>9.35634799413981</v>
      </c>
      <c r="S60">
        <v>5.3187629767238365</v>
      </c>
      <c r="T60">
        <v>93.804476051035309</v>
      </c>
      <c r="U60">
        <v>83.092722004431351</v>
      </c>
      <c r="V60">
        <v>90.344966668534568</v>
      </c>
      <c r="W60">
        <v>99.0676936750111</v>
      </c>
      <c r="X60">
        <v>78.148967635515902</v>
      </c>
      <c r="Y60">
        <v>91.483051803071604</v>
      </c>
      <c r="Z60">
        <v>84.476983386223807</v>
      </c>
      <c r="AA60">
        <v>69.960976099114745</v>
      </c>
      <c r="AB60">
        <v>23.873567774014628</v>
      </c>
      <c r="AC60">
        <v>28.145937718018697</v>
      </c>
      <c r="AD60">
        <v>22.358697444352778</v>
      </c>
      <c r="AE60">
        <v>29.384645484426223</v>
      </c>
    </row>
    <row r="61" spans="1:31" x14ac:dyDescent="0.3">
      <c r="A61" t="s">
        <v>216</v>
      </c>
      <c r="B61">
        <v>449.66486309231067</v>
      </c>
      <c r="C61">
        <v>4188.887175148152</v>
      </c>
      <c r="D61">
        <v>4158.2904752591467</v>
      </c>
      <c r="E61">
        <v>2255.5108345635044</v>
      </c>
      <c r="F61">
        <v>1875.5614206837181</v>
      </c>
      <c r="G61">
        <v>28.649040266811454</v>
      </c>
      <c r="H61">
        <v>536.41158349790646</v>
      </c>
      <c r="I61">
        <v>268.04669116143521</v>
      </c>
      <c r="J61">
        <v>1311.7235753915172</v>
      </c>
      <c r="K61">
        <v>1504.4372642609678</v>
      </c>
      <c r="L61">
        <v>1372.7263354956667</v>
      </c>
      <c r="M61">
        <v>4158.2904752591467</v>
      </c>
      <c r="N61" t="s">
        <v>52</v>
      </c>
      <c r="O61">
        <v>2255.5108345635044</v>
      </c>
      <c r="P61">
        <v>1875.5614206837181</v>
      </c>
      <c r="Q61">
        <v>11.442773468418521</v>
      </c>
      <c r="R61">
        <v>10.065139719432825</v>
      </c>
      <c r="S61">
        <v>7.1411270789601096</v>
      </c>
      <c r="T61">
        <v>82.654300601791078</v>
      </c>
      <c r="U61">
        <v>106.21688201907972</v>
      </c>
      <c r="V61">
        <v>61.034830334054469</v>
      </c>
      <c r="W61">
        <v>121.46875000000003</v>
      </c>
      <c r="X61">
        <v>66.541814584182134</v>
      </c>
      <c r="Y61">
        <v>98.495005958799027</v>
      </c>
      <c r="Z61">
        <v>86.367739548649553</v>
      </c>
      <c r="AA61">
        <v>72.677229326037164</v>
      </c>
      <c r="AB61">
        <v>24.081781879013551</v>
      </c>
      <c r="AC61">
        <v>28.849087459933354</v>
      </c>
      <c r="AD61">
        <v>24.853899361106624</v>
      </c>
      <c r="AE61">
        <v>31.216953586694984</v>
      </c>
    </row>
    <row r="62" spans="1:31" x14ac:dyDescent="0.3">
      <c r="A62" t="s">
        <v>62</v>
      </c>
      <c r="B62">
        <v>12.602014581058697</v>
      </c>
      <c r="C62">
        <v>1661.8082557510288</v>
      </c>
      <c r="D62">
        <v>172.43845816907626</v>
      </c>
      <c r="E62">
        <v>113.12822921642118</v>
      </c>
      <c r="F62">
        <v>107.12705589090649</v>
      </c>
      <c r="G62">
        <v>376.14668152083703</v>
      </c>
      <c r="H62">
        <v>545.47946234040023</v>
      </c>
      <c r="I62">
        <v>157.44204644862015</v>
      </c>
      <c r="J62">
        <v>486.85105146039336</v>
      </c>
      <c r="K62">
        <v>717.60560775250906</v>
      </c>
      <c r="L62">
        <v>457.35159653812627</v>
      </c>
      <c r="M62">
        <v>172.43845816907626</v>
      </c>
      <c r="N62" t="s">
        <v>52</v>
      </c>
      <c r="O62">
        <v>113.12822921642118</v>
      </c>
      <c r="P62">
        <v>107.12705589090649</v>
      </c>
      <c r="Q62">
        <v>188.28528693738588</v>
      </c>
      <c r="R62">
        <v>94.344672679263141</v>
      </c>
      <c r="S62">
        <v>93.516721904188046</v>
      </c>
      <c r="T62">
        <v>75.71839892865097</v>
      </c>
      <c r="U62">
        <v>103.54914513820908</v>
      </c>
      <c r="V62">
        <v>67.711987177511233</v>
      </c>
      <c r="W62">
        <v>105.38618732261124</v>
      </c>
      <c r="X62">
        <v>84.371601731601558</v>
      </c>
      <c r="Y62">
        <v>108.74214204181615</v>
      </c>
      <c r="Z62">
        <v>30.408057625744433</v>
      </c>
      <c r="AA62">
        <v>31.949503565457711</v>
      </c>
      <c r="AB62">
        <v>19.936282708389555</v>
      </c>
      <c r="AC62">
        <v>26.121140407049637</v>
      </c>
      <c r="AD62">
        <v>21.255374473539632</v>
      </c>
      <c r="AE62">
        <v>27.771687668439164</v>
      </c>
    </row>
    <row r="63" spans="1:31" x14ac:dyDescent="0.3">
      <c r="A63" t="s">
        <v>68</v>
      </c>
      <c r="B63">
        <v>89.407931225735027</v>
      </c>
      <c r="C63">
        <v>2395.0245993769549</v>
      </c>
      <c r="D63">
        <v>637.90773585581644</v>
      </c>
      <c r="E63">
        <v>175.38579426049657</v>
      </c>
      <c r="F63">
        <v>180.86114579507876</v>
      </c>
      <c r="G63">
        <v>320.48502386687181</v>
      </c>
      <c r="H63">
        <v>601.33150858710485</v>
      </c>
      <c r="I63">
        <v>194.25977480633716</v>
      </c>
      <c r="J63">
        <v>684.62875335471927</v>
      </c>
      <c r="K63">
        <v>911.78073743869584</v>
      </c>
      <c r="L63">
        <v>798.61510858354018</v>
      </c>
      <c r="M63">
        <v>637.90773585581644</v>
      </c>
      <c r="N63" t="s">
        <v>52</v>
      </c>
      <c r="O63">
        <v>175.38579426049657</v>
      </c>
      <c r="P63">
        <v>180.86114579507876</v>
      </c>
      <c r="Q63">
        <v>107.25755077815859</v>
      </c>
      <c r="R63">
        <v>108.1281810470186</v>
      </c>
      <c r="S63">
        <v>105.09929204169462</v>
      </c>
      <c r="T63">
        <v>145.39346818748879</v>
      </c>
      <c r="U63">
        <v>100.38263921385071</v>
      </c>
      <c r="V63">
        <v>89.49567054942797</v>
      </c>
      <c r="W63">
        <v>82.381158238173043</v>
      </c>
      <c r="X63">
        <v>70.897284761812841</v>
      </c>
      <c r="Y63">
        <v>112.78128763635145</v>
      </c>
      <c r="Z63">
        <v>49.47864575244602</v>
      </c>
      <c r="AA63">
        <v>46.428402741777617</v>
      </c>
      <c r="AB63">
        <v>22.963992938843592</v>
      </c>
      <c r="AC63">
        <v>27.146896436339233</v>
      </c>
      <c r="AD63">
        <v>21.817253346554345</v>
      </c>
      <c r="AE63">
        <v>26.424583590376358</v>
      </c>
    </row>
    <row r="64" spans="1:31" x14ac:dyDescent="0.3">
      <c r="A64" t="s">
        <v>69</v>
      </c>
      <c r="B64">
        <v>137.75518134715037</v>
      </c>
      <c r="C64">
        <v>2883.7157804071585</v>
      </c>
      <c r="D64">
        <v>971.72918621459326</v>
      </c>
      <c r="E64">
        <v>222.36989197007961</v>
      </c>
      <c r="F64">
        <v>211.40824801317348</v>
      </c>
      <c r="G64">
        <v>333.90199211175843</v>
      </c>
      <c r="H64">
        <v>667.31914011397134</v>
      </c>
      <c r="I64">
        <v>214.80471672563658</v>
      </c>
      <c r="J64">
        <v>945.07590544931531</v>
      </c>
      <c r="K64">
        <v>789.04390964760523</v>
      </c>
      <c r="L64">
        <v>1149.5959653102382</v>
      </c>
      <c r="M64">
        <v>971.72918621459326</v>
      </c>
      <c r="N64" t="s">
        <v>52</v>
      </c>
      <c r="O64">
        <v>222.36989197007961</v>
      </c>
      <c r="P64">
        <v>211.40824801317348</v>
      </c>
      <c r="Q64">
        <v>109.14516487176604</v>
      </c>
      <c r="R64">
        <v>117.07604595582939</v>
      </c>
      <c r="S64">
        <v>107.68078128416303</v>
      </c>
      <c r="T64">
        <v>223.71415805640936</v>
      </c>
      <c r="U64">
        <v>107.55115990684459</v>
      </c>
      <c r="V64">
        <v>53.435167338356564</v>
      </c>
      <c r="W64">
        <v>99.503577935623468</v>
      </c>
      <c r="X64">
        <v>81.428865870415265</v>
      </c>
      <c r="Y64">
        <v>101.68621100632208</v>
      </c>
      <c r="Z64">
        <v>57.258989748765103</v>
      </c>
      <c r="AA64">
        <v>52.017154059794187</v>
      </c>
      <c r="AB64">
        <v>23.289182917114022</v>
      </c>
      <c r="AC64">
        <v>36.029683896350605</v>
      </c>
      <c r="AD64">
        <v>22.543597375363561</v>
      </c>
      <c r="AE64">
        <v>23.666108728249114</v>
      </c>
    </row>
    <row r="65" spans="1:31" x14ac:dyDescent="0.3">
      <c r="A65" t="s">
        <v>70</v>
      </c>
      <c r="B65">
        <v>181.98923684352886</v>
      </c>
      <c r="C65">
        <v>3157.6969683102325</v>
      </c>
      <c r="D65">
        <v>1377.8907501257281</v>
      </c>
      <c r="E65">
        <v>265.09004458008411</v>
      </c>
      <c r="F65">
        <v>258.17515765606163</v>
      </c>
      <c r="G65">
        <v>348.53857185164094</v>
      </c>
      <c r="H65">
        <v>738.38180306750507</v>
      </c>
      <c r="I65">
        <v>232.48219448097288</v>
      </c>
      <c r="J65">
        <v>1092.1020975999693</v>
      </c>
      <c r="K65">
        <v>864.93881867107336</v>
      </c>
      <c r="L65">
        <v>1200.6560520391902</v>
      </c>
      <c r="M65">
        <v>1377.8907501257281</v>
      </c>
      <c r="N65" t="s">
        <v>52</v>
      </c>
      <c r="O65">
        <v>265.09004458008411</v>
      </c>
      <c r="P65">
        <v>258.17515765606163</v>
      </c>
      <c r="Q65">
        <v>114.8255058612708</v>
      </c>
      <c r="R65">
        <v>113.82369358924824</v>
      </c>
      <c r="S65">
        <v>119.88937240112189</v>
      </c>
      <c r="T65">
        <v>297.30690650677246</v>
      </c>
      <c r="U65">
        <v>103.87153571428597</v>
      </c>
      <c r="V65">
        <v>74.514213395638521</v>
      </c>
      <c r="W65">
        <v>102.3464887692939</v>
      </c>
      <c r="X65">
        <v>75.410505562596882</v>
      </c>
      <c r="Y65">
        <v>84.932153118917356</v>
      </c>
      <c r="Z65">
        <v>70.539537799561245</v>
      </c>
      <c r="AA65">
        <v>58.157253454414651</v>
      </c>
      <c r="AB65">
        <v>23.388514372933084</v>
      </c>
      <c r="AC65">
        <v>29.562027322273153</v>
      </c>
      <c r="AD65">
        <v>22.741635417575061</v>
      </c>
      <c r="AE65">
        <v>28.093226114215661</v>
      </c>
    </row>
    <row r="66" spans="1:31" x14ac:dyDescent="0.3">
      <c r="A66" t="s">
        <v>71</v>
      </c>
      <c r="B66">
        <v>208.48495486459447</v>
      </c>
      <c r="C66">
        <v>3228.6841421537238</v>
      </c>
      <c r="D66">
        <v>1577.7699028551131</v>
      </c>
      <c r="E66">
        <v>275.12521350852688</v>
      </c>
      <c r="F66">
        <v>274.3121508379889</v>
      </c>
      <c r="G66">
        <v>360.71206147605614</v>
      </c>
      <c r="H66">
        <v>841.93441877849727</v>
      </c>
      <c r="I66">
        <v>244.38795649045534</v>
      </c>
      <c r="J66">
        <v>987.58403447421631</v>
      </c>
      <c r="K66">
        <v>978.56130519175269</v>
      </c>
      <c r="L66">
        <v>1262.5388024877545</v>
      </c>
      <c r="M66">
        <v>1577.7699028551131</v>
      </c>
      <c r="N66" t="s">
        <v>52</v>
      </c>
      <c r="O66">
        <v>275.12521350852688</v>
      </c>
      <c r="P66">
        <v>274.3121508379889</v>
      </c>
      <c r="Q66">
        <v>118.21139002850988</v>
      </c>
      <c r="R66">
        <v>114.42661550777028</v>
      </c>
      <c r="S66">
        <v>128.07405593977597</v>
      </c>
      <c r="T66">
        <v>366.31417532720428</v>
      </c>
      <c r="U66">
        <v>91.070405922069583</v>
      </c>
      <c r="V66">
        <v>93.261674192015221</v>
      </c>
      <c r="W66">
        <v>115.06250217868721</v>
      </c>
      <c r="X66">
        <v>83.265859602232908</v>
      </c>
      <c r="Y66">
        <v>92.95980155628807</v>
      </c>
      <c r="Z66">
        <v>80.48404160897492</v>
      </c>
      <c r="AA66">
        <v>64.760002548420061</v>
      </c>
      <c r="AB66">
        <v>22.748484547351701</v>
      </c>
      <c r="AC66">
        <v>23.932573289902248</v>
      </c>
      <c r="AD66">
        <v>24.368817680957481</v>
      </c>
      <c r="AE66">
        <v>28.094036814848959</v>
      </c>
    </row>
    <row r="67" spans="1:31" x14ac:dyDescent="0.3">
      <c r="A67" t="s">
        <v>72</v>
      </c>
      <c r="B67">
        <v>244.4420185822251</v>
      </c>
      <c r="C67">
        <v>3440.3615119418546</v>
      </c>
      <c r="D67">
        <v>1853.051911690462</v>
      </c>
      <c r="E67">
        <v>295.4857943712226</v>
      </c>
      <c r="F67">
        <v>293.92427726056286</v>
      </c>
      <c r="G67">
        <v>349.7959206729239</v>
      </c>
      <c r="H67">
        <v>953.58534722693616</v>
      </c>
      <c r="I67">
        <v>265.03322996429063</v>
      </c>
      <c r="J67">
        <v>960.18720603837085</v>
      </c>
      <c r="K67">
        <v>1036.0936778029823</v>
      </c>
      <c r="L67">
        <v>1444.0806281005018</v>
      </c>
      <c r="M67">
        <v>1853.051911690462</v>
      </c>
      <c r="N67" t="s">
        <v>52</v>
      </c>
      <c r="O67">
        <v>295.4857943712226</v>
      </c>
      <c r="P67">
        <v>293.92427726056286</v>
      </c>
      <c r="Q67">
        <v>123.5776261937243</v>
      </c>
      <c r="R67">
        <v>108.84237159819898</v>
      </c>
      <c r="S67">
        <v>117.37592288100063</v>
      </c>
      <c r="T67">
        <v>476.4690989803691</v>
      </c>
      <c r="U67">
        <v>98.484657019772527</v>
      </c>
      <c r="V67">
        <v>75.431528439338905</v>
      </c>
      <c r="W67">
        <v>120.29265592323807</v>
      </c>
      <c r="X67">
        <v>74.014835139283193</v>
      </c>
      <c r="Y67">
        <v>108.8925717249345</v>
      </c>
      <c r="Z67">
        <v>91.751711304579175</v>
      </c>
      <c r="AA67">
        <v>68.526281484240499</v>
      </c>
      <c r="AB67">
        <v>28.893680861832017</v>
      </c>
      <c r="AC67">
        <v>29.27288701458443</v>
      </c>
      <c r="AD67">
        <v>22.271815446339069</v>
      </c>
      <c r="AE67">
        <v>24.316853852715393</v>
      </c>
    </row>
    <row r="68" spans="1:31" x14ac:dyDescent="0.3">
      <c r="A68" t="s">
        <v>73</v>
      </c>
      <c r="B68">
        <v>269.06453149620711</v>
      </c>
      <c r="C68">
        <v>3305.130318538012</v>
      </c>
      <c r="D68">
        <v>2179.7971896572935</v>
      </c>
      <c r="E68">
        <v>326.54624996684441</v>
      </c>
      <c r="F68">
        <v>322.49683507436532</v>
      </c>
      <c r="G68">
        <v>355.89571984133011</v>
      </c>
      <c r="H68">
        <v>1065.7116900670992</v>
      </c>
      <c r="I68">
        <v>275.66782108255177</v>
      </c>
      <c r="J68">
        <v>1074.4964828276923</v>
      </c>
      <c r="K68">
        <v>989.22843958219016</v>
      </c>
      <c r="L68">
        <v>1241.4053961281297</v>
      </c>
      <c r="M68">
        <v>2179.7971896572935</v>
      </c>
      <c r="N68" t="s">
        <v>52</v>
      </c>
      <c r="O68">
        <v>326.54624996684441</v>
      </c>
      <c r="P68">
        <v>322.49683507436532</v>
      </c>
      <c r="Q68">
        <v>121.32418916152426</v>
      </c>
      <c r="R68">
        <v>116.5016708290831</v>
      </c>
      <c r="S68">
        <v>118.06985985072278</v>
      </c>
      <c r="T68">
        <v>581.6204770642197</v>
      </c>
      <c r="U68">
        <v>127.04702297922339</v>
      </c>
      <c r="V68">
        <v>78.130922189142609</v>
      </c>
      <c r="W68">
        <v>91.465631781004731</v>
      </c>
      <c r="X68">
        <v>81.333726475565413</v>
      </c>
      <c r="Y68">
        <v>106.11390957794355</v>
      </c>
      <c r="Z68">
        <v>100.92377127405773</v>
      </c>
      <c r="AA68">
        <v>74.93543889427724</v>
      </c>
      <c r="AB68">
        <v>22.478336074405952</v>
      </c>
      <c r="AC68">
        <v>29.642156564118153</v>
      </c>
      <c r="AD68">
        <v>22.165673134626857</v>
      </c>
      <c r="AE68">
        <v>25.522445141065838</v>
      </c>
    </row>
    <row r="69" spans="1:31" x14ac:dyDescent="0.3">
      <c r="A69" t="s">
        <v>74</v>
      </c>
      <c r="B69">
        <v>307.71565363627025</v>
      </c>
      <c r="C69">
        <v>3613.8348888047535</v>
      </c>
      <c r="D69">
        <v>2350.8655945277283</v>
      </c>
      <c r="E69">
        <v>346.54830539989399</v>
      </c>
      <c r="F69">
        <v>343.62381138465616</v>
      </c>
      <c r="G69">
        <v>367.91687375892275</v>
      </c>
      <c r="H69">
        <v>1141.2298294482548</v>
      </c>
      <c r="I69">
        <v>292.52527076399258</v>
      </c>
      <c r="J69">
        <v>1151.6982474608228</v>
      </c>
      <c r="K69">
        <v>1316.6744279287266</v>
      </c>
      <c r="L69">
        <v>1145.4622134152041</v>
      </c>
      <c r="M69">
        <v>2350.8655945277283</v>
      </c>
      <c r="N69" t="s">
        <v>52</v>
      </c>
      <c r="O69">
        <v>346.54830539989399</v>
      </c>
      <c r="P69">
        <v>343.62381138465616</v>
      </c>
      <c r="Q69">
        <v>124.24852148341786</v>
      </c>
      <c r="R69">
        <v>119.98583627696415</v>
      </c>
      <c r="S69">
        <v>123.68251599854071</v>
      </c>
      <c r="T69">
        <v>643.39914942171254</v>
      </c>
      <c r="U69">
        <v>124.61163593265265</v>
      </c>
      <c r="V69">
        <v>97.978424534758986</v>
      </c>
      <c r="W69">
        <v>80.498320501768703</v>
      </c>
      <c r="X69">
        <v>91.859220307073258</v>
      </c>
      <c r="Y69">
        <v>102.88307875028858</v>
      </c>
      <c r="Z69">
        <v>112.60978456014359</v>
      </c>
      <c r="AA69">
        <v>80.416472024072561</v>
      </c>
      <c r="AB69">
        <v>22.1524204160484</v>
      </c>
      <c r="AC69">
        <v>25.745123051554163</v>
      </c>
      <c r="AD69">
        <v>22.476304125468879</v>
      </c>
      <c r="AE69">
        <v>29.125166586704992</v>
      </c>
    </row>
    <row r="70" spans="1:31" x14ac:dyDescent="0.3">
      <c r="A70" t="s">
        <v>75</v>
      </c>
      <c r="B70">
        <v>330.7745688838354</v>
      </c>
      <c r="C70">
        <v>3723.6382820473154</v>
      </c>
      <c r="D70">
        <v>2609.9098324589604</v>
      </c>
      <c r="E70">
        <v>376.20876642345189</v>
      </c>
      <c r="F70">
        <v>381.88411883112315</v>
      </c>
      <c r="G70">
        <v>420.55452439280475</v>
      </c>
      <c r="H70">
        <v>1224.7764788808472</v>
      </c>
      <c r="I70">
        <v>309.67919394645992</v>
      </c>
      <c r="J70">
        <v>1075.0148192027973</v>
      </c>
      <c r="K70">
        <v>1471.000080940039</v>
      </c>
      <c r="L70">
        <v>1177.6233819044794</v>
      </c>
      <c r="M70">
        <v>2609.9098324589604</v>
      </c>
      <c r="N70" t="s">
        <v>52</v>
      </c>
      <c r="O70">
        <v>376.20876642345189</v>
      </c>
      <c r="P70">
        <v>381.88411883112315</v>
      </c>
      <c r="Q70">
        <v>176.89463418682828</v>
      </c>
      <c r="R70">
        <v>122.15705040203979</v>
      </c>
      <c r="S70">
        <v>121.50283980393671</v>
      </c>
      <c r="T70">
        <v>716.53893597960143</v>
      </c>
      <c r="U70">
        <v>125.16747737710298</v>
      </c>
      <c r="V70">
        <v>70.262605042016702</v>
      </c>
      <c r="W70">
        <v>119.64556022755376</v>
      </c>
      <c r="X70">
        <v>79.002426191171878</v>
      </c>
      <c r="Y70">
        <v>114.15947406340051</v>
      </c>
      <c r="Z70">
        <v>116.95510874279682</v>
      </c>
      <c r="AA70">
        <v>87.149299516144239</v>
      </c>
      <c r="AB70">
        <v>22.713366316721096</v>
      </c>
      <c r="AC70">
        <v>30.152208271138896</v>
      </c>
      <c r="AD70">
        <v>25.054052555715668</v>
      </c>
      <c r="AE70">
        <v>27.655158543943191</v>
      </c>
    </row>
    <row r="71" spans="1:31" x14ac:dyDescent="0.3">
      <c r="A71" t="s">
        <v>76</v>
      </c>
      <c r="B71">
        <v>352.1737781900402</v>
      </c>
      <c r="C71">
        <v>3743.0798301330688</v>
      </c>
      <c r="D71">
        <v>2985.5218731033215</v>
      </c>
      <c r="E71">
        <v>397.16865112651573</v>
      </c>
      <c r="F71">
        <v>388.58985274177797</v>
      </c>
      <c r="G71">
        <v>387.12434944403668</v>
      </c>
      <c r="H71">
        <v>1272.7536126606976</v>
      </c>
      <c r="I71">
        <v>319.42951147511951</v>
      </c>
      <c r="J71">
        <v>1274.0374881863172</v>
      </c>
      <c r="K71">
        <v>1207.424083742648</v>
      </c>
      <c r="L71">
        <v>1261.6182582041035</v>
      </c>
      <c r="M71">
        <v>2985.5218731033215</v>
      </c>
      <c r="N71" t="s">
        <v>52</v>
      </c>
      <c r="O71">
        <v>397.16865112651573</v>
      </c>
      <c r="P71">
        <v>388.58985274177797</v>
      </c>
      <c r="Q71">
        <v>127.89605046626471</v>
      </c>
      <c r="R71">
        <v>132.75286357356106</v>
      </c>
      <c r="S71">
        <v>126.47543540421094</v>
      </c>
      <c r="T71">
        <v>816.81319869063202</v>
      </c>
      <c r="U71">
        <v>112.68663161296007</v>
      </c>
      <c r="V71">
        <v>91.585895695231258</v>
      </c>
      <c r="W71">
        <v>95.742026610921272</v>
      </c>
      <c r="X71">
        <v>72.397273853779012</v>
      </c>
      <c r="Y71">
        <v>83.528586197174107</v>
      </c>
      <c r="Z71">
        <v>125.79608362000525</v>
      </c>
      <c r="AA71">
        <v>92.745692602215044</v>
      </c>
      <c r="AB71">
        <v>22.939267282111025</v>
      </c>
      <c r="AC71">
        <v>27.192577487765124</v>
      </c>
      <c r="AD71">
        <v>23.601547315065396</v>
      </c>
      <c r="AE71">
        <v>27.154343167957741</v>
      </c>
    </row>
    <row r="72" spans="1:31" x14ac:dyDescent="0.3">
      <c r="A72" t="s">
        <v>77</v>
      </c>
      <c r="B72">
        <v>363.2830355866796</v>
      </c>
      <c r="C72">
        <v>3999.9263644417497</v>
      </c>
      <c r="D72">
        <v>3126.599308441449</v>
      </c>
      <c r="E72">
        <v>420.68420428089138</v>
      </c>
      <c r="F72">
        <v>414.16753077480035</v>
      </c>
      <c r="G72">
        <v>385.13053791333192</v>
      </c>
      <c r="H72">
        <v>1376.3383037311439</v>
      </c>
      <c r="I72">
        <v>329.22213367229841</v>
      </c>
      <c r="J72">
        <v>1262.6315126753566</v>
      </c>
      <c r="K72">
        <v>1167.5629120883316</v>
      </c>
      <c r="L72">
        <v>1569.7319396780613</v>
      </c>
      <c r="M72">
        <v>3126.599308441449</v>
      </c>
      <c r="N72" t="s">
        <v>52</v>
      </c>
      <c r="O72">
        <v>420.68420428089138</v>
      </c>
      <c r="P72">
        <v>414.16753077480035</v>
      </c>
      <c r="Q72">
        <v>130.55082801484997</v>
      </c>
      <c r="R72">
        <v>128.26536760965661</v>
      </c>
      <c r="S72">
        <v>126.31434228882534</v>
      </c>
      <c r="T72">
        <v>879.58148925346427</v>
      </c>
      <c r="U72">
        <v>105.79878113595325</v>
      </c>
      <c r="V72">
        <v>67.36748170066987</v>
      </c>
      <c r="W72">
        <v>107.46251608751618</v>
      </c>
      <c r="X72">
        <v>113.34357896580435</v>
      </c>
      <c r="Y72">
        <v>102.78445658773576</v>
      </c>
      <c r="Z72">
        <v>130.62647187091144</v>
      </c>
      <c r="AA72">
        <v>97.261050010375214</v>
      </c>
      <c r="AB72">
        <v>22.717817896389409</v>
      </c>
      <c r="AC72">
        <v>27.778765253245599</v>
      </c>
      <c r="AD72">
        <v>22.669466826675858</v>
      </c>
      <c r="AE72">
        <v>28.16856181470094</v>
      </c>
    </row>
    <row r="73" spans="1:31" x14ac:dyDescent="0.3">
      <c r="A73" t="s">
        <v>78</v>
      </c>
      <c r="B73">
        <v>13.237429490950673</v>
      </c>
      <c r="C73">
        <v>1799.0293126819799</v>
      </c>
      <c r="D73">
        <v>171.49029202346262</v>
      </c>
      <c r="E73">
        <v>119.47128452027661</v>
      </c>
      <c r="F73">
        <v>107.87734347077338</v>
      </c>
      <c r="G73">
        <v>274.44303723881325</v>
      </c>
      <c r="H73">
        <v>559.51266797774338</v>
      </c>
      <c r="I73">
        <v>165.70743664565538</v>
      </c>
      <c r="J73">
        <v>505.77854601005612</v>
      </c>
      <c r="K73">
        <v>791.87329178798461</v>
      </c>
      <c r="L73">
        <v>501.37747488393916</v>
      </c>
      <c r="M73">
        <v>171.49029202346262</v>
      </c>
      <c r="N73" t="s">
        <v>52</v>
      </c>
      <c r="O73">
        <v>119.47128452027661</v>
      </c>
      <c r="P73">
        <v>107.87734347077338</v>
      </c>
      <c r="Q73">
        <v>90.024009356081308</v>
      </c>
      <c r="R73">
        <v>91.26673760752</v>
      </c>
      <c r="S73">
        <v>93.152290275211968</v>
      </c>
      <c r="T73">
        <v>82.358918128655205</v>
      </c>
      <c r="U73">
        <v>122.25634743193174</v>
      </c>
      <c r="V73">
        <v>80.635510290911171</v>
      </c>
      <c r="W73">
        <v>92.437927029243014</v>
      </c>
      <c r="X73">
        <v>92.118342977186586</v>
      </c>
      <c r="Y73">
        <v>89.705622119815658</v>
      </c>
      <c r="Z73">
        <v>30.614340122536795</v>
      </c>
      <c r="AA73">
        <v>38.118786530802289</v>
      </c>
      <c r="AB73">
        <v>22.008739461237866</v>
      </c>
      <c r="AC73">
        <v>25.814106250945922</v>
      </c>
      <c r="AD73">
        <v>21.781497604209097</v>
      </c>
      <c r="AE73">
        <v>27.369966675923383</v>
      </c>
    </row>
    <row r="74" spans="1:31" x14ac:dyDescent="0.3">
      <c r="A74" t="s">
        <v>80</v>
      </c>
      <c r="B74">
        <v>86.436338934995121</v>
      </c>
      <c r="C74">
        <v>2438.1854284416186</v>
      </c>
      <c r="D74">
        <v>642.14889496223259</v>
      </c>
      <c r="E74">
        <v>175.01661978082706</v>
      </c>
      <c r="F74">
        <v>178.64222006000122</v>
      </c>
      <c r="G74">
        <v>325.70052916730526</v>
      </c>
      <c r="H74">
        <v>648.81655853763107</v>
      </c>
      <c r="I74">
        <v>194.38481347953987</v>
      </c>
      <c r="J74">
        <v>749.58957780321396</v>
      </c>
      <c r="K74">
        <v>903.73618050932089</v>
      </c>
      <c r="L74">
        <v>784.85967012908361</v>
      </c>
      <c r="M74">
        <v>642.14889496223259</v>
      </c>
      <c r="N74" t="s">
        <v>52</v>
      </c>
      <c r="O74">
        <v>175.01661978082706</v>
      </c>
      <c r="P74">
        <v>178.64222006000122</v>
      </c>
      <c r="Q74">
        <v>106.83113377324588</v>
      </c>
      <c r="R74">
        <v>112.43757721224092</v>
      </c>
      <c r="S74">
        <v>106.43181818181844</v>
      </c>
      <c r="T74">
        <v>143.20275663064842</v>
      </c>
      <c r="U74">
        <v>107.25355862099302</v>
      </c>
      <c r="V74">
        <v>93.235580952380985</v>
      </c>
      <c r="W74">
        <v>106.85364781131325</v>
      </c>
      <c r="X74">
        <v>77.612808408301689</v>
      </c>
      <c r="Y74">
        <v>120.65820611399377</v>
      </c>
      <c r="Z74">
        <v>45.19625867372477</v>
      </c>
      <c r="AA74">
        <v>43.380674189919915</v>
      </c>
      <c r="AB74">
        <v>22.654933896688043</v>
      </c>
      <c r="AC74">
        <v>31.525141275516081</v>
      </c>
      <c r="AD74">
        <v>22.584236019374735</v>
      </c>
      <c r="AE74">
        <v>29.043569424316306</v>
      </c>
    </row>
    <row r="75" spans="1:31" x14ac:dyDescent="0.3">
      <c r="A75" t="s">
        <v>81</v>
      </c>
      <c r="B75">
        <v>145.39543277821457</v>
      </c>
      <c r="C75">
        <v>2803.5659785090711</v>
      </c>
      <c r="D75">
        <v>983.11633903753818</v>
      </c>
      <c r="E75">
        <v>225.1140210559374</v>
      </c>
      <c r="F75">
        <v>220.46370400160936</v>
      </c>
      <c r="G75">
        <v>336.59497738576312</v>
      </c>
      <c r="H75">
        <v>669.51569461047961</v>
      </c>
      <c r="I75">
        <v>219.33258824496846</v>
      </c>
      <c r="J75">
        <v>826.54370174620271</v>
      </c>
      <c r="K75">
        <v>1097.2952034207892</v>
      </c>
      <c r="L75">
        <v>879.72707334207905</v>
      </c>
      <c r="M75">
        <v>983.11633903753818</v>
      </c>
      <c r="N75" t="s">
        <v>52</v>
      </c>
      <c r="O75">
        <v>225.1140210559374</v>
      </c>
      <c r="P75">
        <v>220.46370400160936</v>
      </c>
      <c r="Q75">
        <v>115.98238308776425</v>
      </c>
      <c r="R75">
        <v>108.30094415106434</v>
      </c>
      <c r="S75">
        <v>112.31165014693453</v>
      </c>
      <c r="T75">
        <v>208.82867395959963</v>
      </c>
      <c r="U75">
        <v>113.40504268677537</v>
      </c>
      <c r="V75">
        <v>85.512988467137063</v>
      </c>
      <c r="W75">
        <v>92.701824369560541</v>
      </c>
      <c r="X75">
        <v>86.011911357340693</v>
      </c>
      <c r="Y75">
        <v>83.055253770066344</v>
      </c>
      <c r="Z75">
        <v>61.323898012100145</v>
      </c>
      <c r="AA75">
        <v>60.538877779084942</v>
      </c>
      <c r="AB75">
        <v>23.68444819074011</v>
      </c>
      <c r="AC75">
        <v>25.29523389232126</v>
      </c>
      <c r="AD75">
        <v>22.127592409059201</v>
      </c>
      <c r="AE75">
        <v>26.362537961662849</v>
      </c>
    </row>
    <row r="76" spans="1:31" x14ac:dyDescent="0.3">
      <c r="A76" t="s">
        <v>82</v>
      </c>
      <c r="B76">
        <v>178.32356238459516</v>
      </c>
      <c r="C76">
        <v>3060.0641729715453</v>
      </c>
      <c r="D76">
        <v>1318.9720523737917</v>
      </c>
      <c r="E76">
        <v>250.55065734940547</v>
      </c>
      <c r="F76">
        <v>248.20992956933364</v>
      </c>
      <c r="G76">
        <v>346.53201081411089</v>
      </c>
      <c r="H76">
        <v>789.98048403339294</v>
      </c>
      <c r="I76">
        <v>255.49171252379926</v>
      </c>
      <c r="J76">
        <v>881.90271248607473</v>
      </c>
      <c r="K76">
        <v>998.85151317325654</v>
      </c>
      <c r="L76">
        <v>1179.3099473122143</v>
      </c>
      <c r="M76">
        <v>1318.9720523737917</v>
      </c>
      <c r="N76" t="s">
        <v>52</v>
      </c>
      <c r="O76">
        <v>250.55065734940547</v>
      </c>
      <c r="P76">
        <v>248.20992956933364</v>
      </c>
      <c r="Q76">
        <v>112.7117178302997</v>
      </c>
      <c r="R76">
        <v>114.36953721137616</v>
      </c>
      <c r="S76">
        <v>119.45075577243502</v>
      </c>
      <c r="T76">
        <v>316.39555373101308</v>
      </c>
      <c r="U76">
        <v>135.58422073552117</v>
      </c>
      <c r="V76">
        <v>70.577070653611969</v>
      </c>
      <c r="W76">
        <v>98.995373193214206</v>
      </c>
      <c r="X76">
        <v>71.480556110778181</v>
      </c>
      <c r="Y76">
        <v>96.947709609254375</v>
      </c>
      <c r="Z76">
        <v>71.826416410386386</v>
      </c>
      <c r="AA76">
        <v>63.539991430407632</v>
      </c>
      <c r="AB76">
        <v>29.59073818774279</v>
      </c>
      <c r="AC76">
        <v>38.671486972969667</v>
      </c>
      <c r="AD76">
        <v>23.44446955430011</v>
      </c>
      <c r="AE76">
        <v>28.41860996799268</v>
      </c>
    </row>
    <row r="77" spans="1:31" x14ac:dyDescent="0.3">
      <c r="A77" t="s">
        <v>83</v>
      </c>
      <c r="B77">
        <v>212.18845341469154</v>
      </c>
      <c r="C77">
        <v>3063.202522815307</v>
      </c>
      <c r="D77">
        <v>1611.7187683475715</v>
      </c>
      <c r="E77">
        <v>285.23268185042377</v>
      </c>
      <c r="F77">
        <v>277.210127296449</v>
      </c>
      <c r="G77">
        <v>358.92908649518887</v>
      </c>
      <c r="H77">
        <v>859.66362732351502</v>
      </c>
      <c r="I77">
        <v>247.15409172269025</v>
      </c>
      <c r="J77">
        <v>828.7713260765463</v>
      </c>
      <c r="K77">
        <v>1315.1954017364799</v>
      </c>
      <c r="L77">
        <v>919.23579500228084</v>
      </c>
      <c r="M77">
        <v>1611.7187683475715</v>
      </c>
      <c r="N77" t="s">
        <v>52</v>
      </c>
      <c r="O77">
        <v>285.23268185042377</v>
      </c>
      <c r="P77">
        <v>277.210127296449</v>
      </c>
      <c r="Q77">
        <v>114.95987158908477</v>
      </c>
      <c r="R77">
        <v>125.20254049290391</v>
      </c>
      <c r="S77">
        <v>118.76667441320019</v>
      </c>
      <c r="T77">
        <v>389.79570004154453</v>
      </c>
      <c r="U77">
        <v>113.26216301600704</v>
      </c>
      <c r="V77">
        <v>81.572098402675906</v>
      </c>
      <c r="W77">
        <v>102.96374903175833</v>
      </c>
      <c r="X77">
        <v>79.759179531336514</v>
      </c>
      <c r="Y77">
        <v>92.310737300192741</v>
      </c>
      <c r="Z77">
        <v>78.532423832339632</v>
      </c>
      <c r="AA77">
        <v>71.913038667920389</v>
      </c>
      <c r="AB77">
        <v>21.370254007135671</v>
      </c>
      <c r="AC77">
        <v>28.682966080713026</v>
      </c>
      <c r="AD77">
        <v>22.580542590431726</v>
      </c>
      <c r="AE77">
        <v>24.074866544149838</v>
      </c>
    </row>
    <row r="78" spans="1:31" x14ac:dyDescent="0.3">
      <c r="A78" t="s">
        <v>84</v>
      </c>
      <c r="B78">
        <v>250.06547937217533</v>
      </c>
      <c r="C78">
        <v>3282.2203795241776</v>
      </c>
      <c r="D78">
        <v>1870.5475936643315</v>
      </c>
      <c r="E78">
        <v>298.42164948986112</v>
      </c>
      <c r="F78">
        <v>295.24969513199937</v>
      </c>
      <c r="G78">
        <v>361.89188620324683</v>
      </c>
      <c r="H78">
        <v>931.59276560705871</v>
      </c>
      <c r="I78">
        <v>263.98608956506598</v>
      </c>
      <c r="J78">
        <v>958.07930580687798</v>
      </c>
      <c r="K78">
        <v>1428.2053861130648</v>
      </c>
      <c r="L78">
        <v>895.93568760423466</v>
      </c>
      <c r="M78">
        <v>1870.5475936643315</v>
      </c>
      <c r="N78" t="s">
        <v>52</v>
      </c>
      <c r="O78">
        <v>298.42164948986112</v>
      </c>
      <c r="P78">
        <v>295.24969513199937</v>
      </c>
      <c r="Q78">
        <v>118.51133179752192</v>
      </c>
      <c r="R78">
        <v>127.99587711617045</v>
      </c>
      <c r="S78">
        <v>115.38467728955449</v>
      </c>
      <c r="T78">
        <v>465.92420862545191</v>
      </c>
      <c r="U78">
        <v>119.07230638838899</v>
      </c>
      <c r="V78">
        <v>91.4239449864817</v>
      </c>
      <c r="W78">
        <v>97.694425499838673</v>
      </c>
      <c r="X78">
        <v>71.902207413577585</v>
      </c>
      <c r="Y78">
        <v>85.575672693319774</v>
      </c>
      <c r="Z78">
        <v>92.191801576835744</v>
      </c>
      <c r="AA78">
        <v>75.468345536572812</v>
      </c>
      <c r="AB78">
        <v>22.51018852920706</v>
      </c>
      <c r="AC78">
        <v>25.67126100619144</v>
      </c>
      <c r="AD78">
        <v>21.971192537495391</v>
      </c>
      <c r="AE78">
        <v>26.17330037876356</v>
      </c>
    </row>
    <row r="79" spans="1:31" x14ac:dyDescent="0.3">
      <c r="A79" t="s">
        <v>85</v>
      </c>
      <c r="B79">
        <v>279.02357945594059</v>
      </c>
      <c r="C79">
        <v>3593.3610440411826</v>
      </c>
      <c r="D79">
        <v>2120.0640706919012</v>
      </c>
      <c r="E79">
        <v>336.12532825837422</v>
      </c>
      <c r="F79">
        <v>327.757358790772</v>
      </c>
      <c r="G79">
        <v>359.69341441374672</v>
      </c>
      <c r="H79">
        <v>1012.5537816581269</v>
      </c>
      <c r="I79">
        <v>284.67559819792467</v>
      </c>
      <c r="J79">
        <v>1115.0739723293491</v>
      </c>
      <c r="K79">
        <v>1289.129008590603</v>
      </c>
      <c r="L79">
        <v>1189.1580631212305</v>
      </c>
      <c r="M79">
        <v>2120.0640706919012</v>
      </c>
      <c r="N79" t="s">
        <v>52</v>
      </c>
      <c r="O79">
        <v>336.12532825837422</v>
      </c>
      <c r="P79">
        <v>327.757358790772</v>
      </c>
      <c r="Q79">
        <v>122.96105795840884</v>
      </c>
      <c r="R79">
        <v>118.26458838636047</v>
      </c>
      <c r="S79">
        <v>118.46776806897741</v>
      </c>
      <c r="T79">
        <v>561.56619509213249</v>
      </c>
      <c r="U79">
        <v>124.36678392890215</v>
      </c>
      <c r="V79">
        <v>70.260307524833181</v>
      </c>
      <c r="W79">
        <v>89.158736324205279</v>
      </c>
      <c r="X79">
        <v>66.791028377699732</v>
      </c>
      <c r="Y79">
        <v>100.41073041035413</v>
      </c>
      <c r="Z79">
        <v>103.8955373755869</v>
      </c>
      <c r="AA79">
        <v>76.685117937645188</v>
      </c>
      <c r="AB79">
        <v>22.925229477126727</v>
      </c>
      <c r="AC79">
        <v>32.475414709554641</v>
      </c>
      <c r="AD79">
        <v>21.393501392014052</v>
      </c>
      <c r="AE79">
        <v>27.300797305997129</v>
      </c>
    </row>
    <row r="80" spans="1:31" x14ac:dyDescent="0.3">
      <c r="A80" t="s">
        <v>86</v>
      </c>
      <c r="B80">
        <v>295.25943306141403</v>
      </c>
      <c r="C80">
        <v>3738.8955917419503</v>
      </c>
      <c r="D80">
        <v>2508.3553272209938</v>
      </c>
      <c r="E80">
        <v>352.80757916195358</v>
      </c>
      <c r="F80">
        <v>344.68971501197615</v>
      </c>
      <c r="G80">
        <v>364.5042474980786</v>
      </c>
      <c r="H80">
        <v>1128.1574050366034</v>
      </c>
      <c r="I80">
        <v>301.19157879187406</v>
      </c>
      <c r="J80">
        <v>1101.8595485386063</v>
      </c>
      <c r="K80">
        <v>1516.0064161461269</v>
      </c>
      <c r="L80">
        <v>1121.0296270572171</v>
      </c>
      <c r="M80">
        <v>2508.3553272209938</v>
      </c>
      <c r="N80" t="s">
        <v>52</v>
      </c>
      <c r="O80">
        <v>352.80757916195358</v>
      </c>
      <c r="P80">
        <v>344.68971501197615</v>
      </c>
      <c r="Q80">
        <v>125.38444696111728</v>
      </c>
      <c r="R80">
        <v>120.04948374516485</v>
      </c>
      <c r="S80">
        <v>119.07031679179644</v>
      </c>
      <c r="T80">
        <v>654.76281298299853</v>
      </c>
      <c r="U80">
        <v>101.79724755430301</v>
      </c>
      <c r="V80">
        <v>75.937866697958356</v>
      </c>
      <c r="W80">
        <v>120.52328944234621</v>
      </c>
      <c r="X80">
        <v>74.907610245878516</v>
      </c>
      <c r="Y80">
        <v>100.22857811311887</v>
      </c>
      <c r="Z80">
        <v>109.09805138103788</v>
      </c>
      <c r="AA80">
        <v>82.453200854424139</v>
      </c>
      <c r="AB80">
        <v>23.241319730129984</v>
      </c>
      <c r="AC80">
        <v>35.091721917029844</v>
      </c>
      <c r="AD80">
        <v>23.346450355811545</v>
      </c>
      <c r="AE80">
        <v>27.960834553440712</v>
      </c>
    </row>
    <row r="81" spans="1:31" x14ac:dyDescent="0.3">
      <c r="A81" t="s">
        <v>87</v>
      </c>
      <c r="B81">
        <v>323.69660916121342</v>
      </c>
      <c r="C81">
        <v>3774.1335387125437</v>
      </c>
      <c r="D81">
        <v>2637.5975661286229</v>
      </c>
      <c r="E81">
        <v>373.38592754274816</v>
      </c>
      <c r="F81">
        <v>365.69161855464813</v>
      </c>
      <c r="G81">
        <v>426.03387167051403</v>
      </c>
      <c r="H81">
        <v>1214.7933032867209</v>
      </c>
      <c r="I81">
        <v>317.55329259622755</v>
      </c>
      <c r="J81">
        <v>1231.5519851141773</v>
      </c>
      <c r="K81">
        <v>1087.0140276088364</v>
      </c>
      <c r="L81">
        <v>1455.5675259895295</v>
      </c>
      <c r="M81">
        <v>2637.5975661286229</v>
      </c>
      <c r="N81" t="s">
        <v>52</v>
      </c>
      <c r="O81">
        <v>373.38592754274816</v>
      </c>
      <c r="P81">
        <v>365.69161855464813</v>
      </c>
      <c r="Q81">
        <v>176.0914758422249</v>
      </c>
      <c r="R81">
        <v>123.8734913388784</v>
      </c>
      <c r="S81">
        <v>126.06890448941074</v>
      </c>
      <c r="T81">
        <v>716.10105288157183</v>
      </c>
      <c r="U81">
        <v>135.14868680734818</v>
      </c>
      <c r="V81">
        <v>87.981308982072292</v>
      </c>
      <c r="W81">
        <v>116.68737256556324</v>
      </c>
      <c r="X81">
        <v>73.413130611372239</v>
      </c>
      <c r="Y81">
        <v>85.461751438793016</v>
      </c>
      <c r="Z81">
        <v>118.66304912244256</v>
      </c>
      <c r="AA81">
        <v>94.797208737864068</v>
      </c>
      <c r="AB81">
        <v>23.12370304833906</v>
      </c>
      <c r="AC81">
        <v>28.99458536020391</v>
      </c>
      <c r="AD81">
        <v>22.523774452038658</v>
      </c>
      <c r="AE81">
        <v>29.450971875339299</v>
      </c>
    </row>
    <row r="82" spans="1:31" x14ac:dyDescent="0.3">
      <c r="A82" t="s">
        <v>88</v>
      </c>
      <c r="B82">
        <v>345.59187689202764</v>
      </c>
      <c r="C82">
        <v>3912.3360815194746</v>
      </c>
      <c r="D82">
        <v>3013.8510535328646</v>
      </c>
      <c r="E82">
        <v>404.67195192631772</v>
      </c>
      <c r="F82">
        <v>376.94046309463266</v>
      </c>
      <c r="G82">
        <v>396.80819056084272</v>
      </c>
      <c r="H82">
        <v>1246.1871047512718</v>
      </c>
      <c r="I82">
        <v>320.36283230549145</v>
      </c>
      <c r="J82">
        <v>1276.5305656793257</v>
      </c>
      <c r="K82">
        <v>1522.0979387648163</v>
      </c>
      <c r="L82">
        <v>1113.7075770753327</v>
      </c>
      <c r="M82">
        <v>3013.8510535328646</v>
      </c>
      <c r="N82" t="s">
        <v>52</v>
      </c>
      <c r="O82">
        <v>404.67195192631772</v>
      </c>
      <c r="P82">
        <v>376.94046309463266</v>
      </c>
      <c r="Q82">
        <v>129.20001642845426</v>
      </c>
      <c r="R82">
        <v>127.67758218184103</v>
      </c>
      <c r="S82">
        <v>139.93059195054738</v>
      </c>
      <c r="T82">
        <v>796.95047302800708</v>
      </c>
      <c r="U82">
        <v>128.68205502292616</v>
      </c>
      <c r="V82">
        <v>74.456215925153174</v>
      </c>
      <c r="W82">
        <v>81.760540637521558</v>
      </c>
      <c r="X82">
        <v>66.660547410391516</v>
      </c>
      <c r="Y82">
        <v>97.677272727272367</v>
      </c>
      <c r="Z82">
        <v>127.50935508390354</v>
      </c>
      <c r="AA82">
        <v>90.160004172207906</v>
      </c>
      <c r="AB82">
        <v>22.953967115573622</v>
      </c>
      <c r="AC82">
        <v>27.36312885638727</v>
      </c>
      <c r="AD82">
        <v>22.406383257888795</v>
      </c>
      <c r="AE82">
        <v>29.969993819530309</v>
      </c>
    </row>
    <row r="83" spans="1:31" x14ac:dyDescent="0.3">
      <c r="A83" t="s">
        <v>89</v>
      </c>
      <c r="B83">
        <v>377.14364334914035</v>
      </c>
      <c r="C83">
        <v>3938.6246836839337</v>
      </c>
      <c r="D83">
        <v>3105.9017778430757</v>
      </c>
      <c r="E83">
        <v>398.9159701375612</v>
      </c>
      <c r="F83">
        <v>396.46735565934608</v>
      </c>
      <c r="G83">
        <v>419.33114057117194</v>
      </c>
      <c r="H83">
        <v>1360.8592659954822</v>
      </c>
      <c r="I83">
        <v>315.89012383329447</v>
      </c>
      <c r="J83">
        <v>1249.066588952227</v>
      </c>
      <c r="K83">
        <v>1460.5368104933377</v>
      </c>
      <c r="L83">
        <v>1229.0212842383689</v>
      </c>
      <c r="M83">
        <v>3105.9017778430757</v>
      </c>
      <c r="N83" t="s">
        <v>52</v>
      </c>
      <c r="O83">
        <v>398.9159701375612</v>
      </c>
      <c r="P83">
        <v>396.46735565934608</v>
      </c>
      <c r="Q83">
        <v>171.12004166780895</v>
      </c>
      <c r="R83">
        <v>125.05465812192182</v>
      </c>
      <c r="S83">
        <v>123.15644078144119</v>
      </c>
      <c r="T83">
        <v>866.61707196336579</v>
      </c>
      <c r="U83">
        <v>132.68997408953518</v>
      </c>
      <c r="V83">
        <v>83.397558738892627</v>
      </c>
      <c r="W83">
        <v>92.750158613550809</v>
      </c>
      <c r="X83">
        <v>85.848128186452982</v>
      </c>
      <c r="Y83">
        <v>99.556374403684771</v>
      </c>
      <c r="Z83">
        <v>125.30893694238627</v>
      </c>
      <c r="AA83">
        <v>92.943999507146543</v>
      </c>
      <c r="AB83">
        <v>23.182679422855141</v>
      </c>
      <c r="AC83">
        <v>26.226779976577351</v>
      </c>
      <c r="AD83">
        <v>22.662339256667661</v>
      </c>
      <c r="AE83">
        <v>25.565388727661531</v>
      </c>
    </row>
    <row r="84" spans="1:31" x14ac:dyDescent="0.3">
      <c r="A84" t="s">
        <v>90</v>
      </c>
      <c r="B84">
        <v>11.918272872653837</v>
      </c>
      <c r="C84">
        <v>1673.099504290399</v>
      </c>
      <c r="D84">
        <v>185.99206529131692</v>
      </c>
      <c r="E84">
        <v>117.18364778851819</v>
      </c>
      <c r="F84">
        <v>112.02410962445828</v>
      </c>
      <c r="G84">
        <v>280.70624012873623</v>
      </c>
      <c r="H84">
        <v>529.5244836274901</v>
      </c>
      <c r="I84">
        <v>172.1785379378365</v>
      </c>
      <c r="J84">
        <v>439.60385088899511</v>
      </c>
      <c r="K84">
        <v>765.46652259640632</v>
      </c>
      <c r="L84">
        <v>468.02913080499746</v>
      </c>
      <c r="M84">
        <v>185.99206529131692</v>
      </c>
      <c r="N84" t="s">
        <v>52</v>
      </c>
      <c r="O84">
        <v>117.18364778851819</v>
      </c>
      <c r="P84">
        <v>112.02410962445828</v>
      </c>
      <c r="Q84">
        <v>88.953608247423048</v>
      </c>
      <c r="R84">
        <v>100.75132628207248</v>
      </c>
      <c r="S84">
        <v>91.001305599240737</v>
      </c>
      <c r="T84">
        <v>84.841592847543851</v>
      </c>
      <c r="U84">
        <v>85.44546675894658</v>
      </c>
      <c r="V84">
        <v>87.565599542661175</v>
      </c>
      <c r="W84">
        <v>92.629373004551709</v>
      </c>
      <c r="X84">
        <v>78.949458483754483</v>
      </c>
      <c r="Y84">
        <v>100.09299299003234</v>
      </c>
      <c r="Z84">
        <v>31.763839788664026</v>
      </c>
      <c r="AA84">
        <v>40.708855615641859</v>
      </c>
      <c r="AB84">
        <v>22.346893118225363</v>
      </c>
      <c r="AC84">
        <v>28.227996268768983</v>
      </c>
      <c r="AD84">
        <v>20.996141225085069</v>
      </c>
      <c r="AE84">
        <v>28.134811921451195</v>
      </c>
    </row>
    <row r="85" spans="1:31" x14ac:dyDescent="0.3">
      <c r="A85" t="s">
        <v>92</v>
      </c>
      <c r="B85">
        <v>86.281487598598773</v>
      </c>
      <c r="C85">
        <v>2553.5922386310049</v>
      </c>
      <c r="D85">
        <v>652.53903388943274</v>
      </c>
      <c r="E85">
        <v>186.84874094332625</v>
      </c>
      <c r="F85">
        <v>180.19353863904831</v>
      </c>
      <c r="G85">
        <v>320.10490583517594</v>
      </c>
      <c r="H85">
        <v>611.11549930021488</v>
      </c>
      <c r="I85">
        <v>195.0036067875304</v>
      </c>
      <c r="J85">
        <v>707.57485147987302</v>
      </c>
      <c r="K85">
        <v>701.77270042354382</v>
      </c>
      <c r="L85">
        <v>1144.2446867275883</v>
      </c>
      <c r="M85">
        <v>652.53903388943274</v>
      </c>
      <c r="N85" t="s">
        <v>52</v>
      </c>
      <c r="O85">
        <v>186.84874094332625</v>
      </c>
      <c r="P85">
        <v>180.19353863904831</v>
      </c>
      <c r="Q85">
        <v>101.13396984924633</v>
      </c>
      <c r="R85">
        <v>107.9382778765563</v>
      </c>
      <c r="S85">
        <v>111.03265810937332</v>
      </c>
      <c r="T85">
        <v>149.11792685504889</v>
      </c>
      <c r="U85">
        <v>98.740920353982062</v>
      </c>
      <c r="V85">
        <v>61.405294278889372</v>
      </c>
      <c r="W85">
        <v>104.80969841902487</v>
      </c>
      <c r="X85">
        <v>86.98240409207159</v>
      </c>
      <c r="Y85">
        <v>110.05925530119815</v>
      </c>
      <c r="Z85">
        <v>45.710207768744418</v>
      </c>
      <c r="AA85">
        <v>48.23779527559094</v>
      </c>
      <c r="AB85">
        <v>21.581232259141785</v>
      </c>
      <c r="AC85">
        <v>27.456771498201267</v>
      </c>
      <c r="AD85">
        <v>23.148335994489781</v>
      </c>
      <c r="AE85">
        <v>28.86926399136221</v>
      </c>
    </row>
    <row r="86" spans="1:31" x14ac:dyDescent="0.3">
      <c r="A86" t="s">
        <v>93</v>
      </c>
      <c r="B86">
        <v>136.46141869138609</v>
      </c>
      <c r="C86">
        <v>2855.3210882246071</v>
      </c>
      <c r="D86">
        <v>983.62339462256352</v>
      </c>
      <c r="E86">
        <v>219.78548969309304</v>
      </c>
      <c r="F86">
        <v>214.6882069795432</v>
      </c>
      <c r="G86">
        <v>343.83296438182498</v>
      </c>
      <c r="H86">
        <v>672.09139009581247</v>
      </c>
      <c r="I86">
        <v>218.24651710770675</v>
      </c>
      <c r="J86">
        <v>864.83077463920949</v>
      </c>
      <c r="K86">
        <v>1152.6126717578095</v>
      </c>
      <c r="L86">
        <v>837.87764182758815</v>
      </c>
      <c r="M86">
        <v>983.62339462256352</v>
      </c>
      <c r="N86" t="s">
        <v>52</v>
      </c>
      <c r="O86">
        <v>219.78548969309304</v>
      </c>
      <c r="P86">
        <v>214.6882069795432</v>
      </c>
      <c r="Q86">
        <v>107.55171590094766</v>
      </c>
      <c r="R86">
        <v>118.08993914486668</v>
      </c>
      <c r="S86">
        <v>118.19130933601066</v>
      </c>
      <c r="T86">
        <v>229.57226773844488</v>
      </c>
      <c r="U86">
        <v>99.710278702014278</v>
      </c>
      <c r="V86">
        <v>75.031145856043835</v>
      </c>
      <c r="W86">
        <v>105.39130039750121</v>
      </c>
      <c r="X86">
        <v>77.451223186309662</v>
      </c>
      <c r="Y86">
        <v>84.935174215498577</v>
      </c>
      <c r="Z86">
        <v>59.033078706861282</v>
      </c>
      <c r="AA86">
        <v>56.634483357955965</v>
      </c>
      <c r="AB86">
        <v>23.374783512296503</v>
      </c>
      <c r="AC86">
        <v>26.089551544473423</v>
      </c>
      <c r="AD86">
        <v>23.125246012894376</v>
      </c>
      <c r="AE86">
        <v>29.989373973225245</v>
      </c>
    </row>
    <row r="87" spans="1:31" x14ac:dyDescent="0.3">
      <c r="A87" t="s">
        <v>94</v>
      </c>
      <c r="B87">
        <v>181.54644361608715</v>
      </c>
      <c r="C87">
        <v>3113.9427480724316</v>
      </c>
      <c r="D87">
        <v>1350.3836717721263</v>
      </c>
      <c r="E87">
        <v>256.03530402153496</v>
      </c>
      <c r="F87">
        <v>252.44179443498027</v>
      </c>
      <c r="G87">
        <v>359.98960184178611</v>
      </c>
      <c r="H87">
        <v>799.42891619613738</v>
      </c>
      <c r="I87">
        <v>235.18837986502882</v>
      </c>
      <c r="J87">
        <v>843.18010470037405</v>
      </c>
      <c r="K87">
        <v>1303.3180174272038</v>
      </c>
      <c r="L87">
        <v>967.44462594485344</v>
      </c>
      <c r="M87">
        <v>1350.3836717721263</v>
      </c>
      <c r="N87" t="s">
        <v>52</v>
      </c>
      <c r="O87">
        <v>256.03530402153496</v>
      </c>
      <c r="P87">
        <v>252.44179443498027</v>
      </c>
      <c r="Q87">
        <v>116.10402456588473</v>
      </c>
      <c r="R87">
        <v>117.2828415651055</v>
      </c>
      <c r="S87">
        <v>126.60273571079591</v>
      </c>
      <c r="T87">
        <v>319.26949670899535</v>
      </c>
      <c r="U87">
        <v>124.10190788068631</v>
      </c>
      <c r="V87">
        <v>88.851922279076135</v>
      </c>
      <c r="W87">
        <v>91.712806104178952</v>
      </c>
      <c r="X87">
        <v>65.898116778072776</v>
      </c>
      <c r="Y87">
        <v>109.59466644512781</v>
      </c>
      <c r="Z87">
        <v>72.292776229167927</v>
      </c>
      <c r="AA87">
        <v>62.385520394060819</v>
      </c>
      <c r="AB87">
        <v>21.361182476393807</v>
      </c>
      <c r="AC87">
        <v>25.787200389341777</v>
      </c>
      <c r="AD87">
        <v>24.068271248688287</v>
      </c>
      <c r="AE87">
        <v>29.293429127376218</v>
      </c>
    </row>
    <row r="88" spans="1:31" x14ac:dyDescent="0.3">
      <c r="A88" t="s">
        <v>95</v>
      </c>
      <c r="B88">
        <v>212.56697791344928</v>
      </c>
      <c r="C88">
        <v>3280.8969070711596</v>
      </c>
      <c r="D88">
        <v>1564.4584169988309</v>
      </c>
      <c r="E88">
        <v>278.49832641582248</v>
      </c>
      <c r="F88">
        <v>271.00682029137624</v>
      </c>
      <c r="G88">
        <v>347.28465873790822</v>
      </c>
      <c r="H88">
        <v>831.7009395275993</v>
      </c>
      <c r="I88">
        <v>242.87342394792591</v>
      </c>
      <c r="J88">
        <v>971.73067466029727</v>
      </c>
      <c r="K88">
        <v>1303.6318127675522</v>
      </c>
      <c r="L88">
        <v>1005.5344196433102</v>
      </c>
      <c r="M88">
        <v>1564.4584169988309</v>
      </c>
      <c r="N88" t="s">
        <v>52</v>
      </c>
      <c r="O88">
        <v>278.49832641582248</v>
      </c>
      <c r="P88">
        <v>271.00682029137624</v>
      </c>
      <c r="Q88">
        <v>117.70396475770926</v>
      </c>
      <c r="R88">
        <v>114.13657140585863</v>
      </c>
      <c r="S88">
        <v>115.44412257434031</v>
      </c>
      <c r="T88">
        <v>395.99069082339059</v>
      </c>
      <c r="U88">
        <v>118.59826676967513</v>
      </c>
      <c r="V88">
        <v>79.711297619828173</v>
      </c>
      <c r="W88">
        <v>93.288061898729879</v>
      </c>
      <c r="X88">
        <v>62.171171944277418</v>
      </c>
      <c r="Y88">
        <v>81.941450471698133</v>
      </c>
      <c r="Z88">
        <v>80.437891093063541</v>
      </c>
      <c r="AA88">
        <v>61.712428704072138</v>
      </c>
      <c r="AB88">
        <v>23.57327880027265</v>
      </c>
      <c r="AC88">
        <v>25.824128129107223</v>
      </c>
      <c r="AD88">
        <v>22.13650509747804</v>
      </c>
      <c r="AE88">
        <v>29.18919212393228</v>
      </c>
    </row>
    <row r="89" spans="1:31" x14ac:dyDescent="0.3">
      <c r="A89" t="s">
        <v>96</v>
      </c>
      <c r="B89">
        <v>238.70077930975447</v>
      </c>
      <c r="C89">
        <v>3203.8970926101229</v>
      </c>
      <c r="D89">
        <v>1853.1872516344065</v>
      </c>
      <c r="E89">
        <v>293.51807437346912</v>
      </c>
      <c r="F89">
        <v>306.11727495782912</v>
      </c>
      <c r="G89">
        <v>356.85013823727218</v>
      </c>
      <c r="H89">
        <v>887.39461709188322</v>
      </c>
      <c r="I89">
        <v>267.49354970768024</v>
      </c>
      <c r="J89">
        <v>943.23988633774502</v>
      </c>
      <c r="K89">
        <v>985.4999586765706</v>
      </c>
      <c r="L89">
        <v>1275.1572475958073</v>
      </c>
      <c r="M89">
        <v>1853.1872516344065</v>
      </c>
      <c r="N89" t="s">
        <v>52</v>
      </c>
      <c r="O89">
        <v>293.51807437346912</v>
      </c>
      <c r="P89">
        <v>306.11727495782912</v>
      </c>
      <c r="Q89">
        <v>119.46228172293377</v>
      </c>
      <c r="R89">
        <v>114.61328213879412</v>
      </c>
      <c r="S89">
        <v>122.77457437554426</v>
      </c>
      <c r="T89">
        <v>461.70746184284872</v>
      </c>
      <c r="U89">
        <v>105.73048043644054</v>
      </c>
      <c r="V89">
        <v>63.236724210023063</v>
      </c>
      <c r="W89">
        <v>96.04721688125197</v>
      </c>
      <c r="X89">
        <v>61.652609587186241</v>
      </c>
      <c r="Y89">
        <v>99.020124134132587</v>
      </c>
      <c r="Z89">
        <v>92.456362551529566</v>
      </c>
      <c r="AA89">
        <v>73.451022947593771</v>
      </c>
      <c r="AB89">
        <v>22.153720038036546</v>
      </c>
      <c r="AC89">
        <v>28.912883308254973</v>
      </c>
      <c r="AD89">
        <v>22.828458713100208</v>
      </c>
      <c r="AE89">
        <v>27.691102149165179</v>
      </c>
    </row>
    <row r="90" spans="1:31" x14ac:dyDescent="0.3">
      <c r="A90" t="s">
        <v>97</v>
      </c>
      <c r="B90">
        <v>279.42150461548317</v>
      </c>
      <c r="C90">
        <v>3594.7529057285819</v>
      </c>
      <c r="D90">
        <v>2227.2096057503827</v>
      </c>
      <c r="E90">
        <v>335.57183431337916</v>
      </c>
      <c r="F90">
        <v>326.29881438164671</v>
      </c>
      <c r="G90">
        <v>357.06073679886259</v>
      </c>
      <c r="H90">
        <v>1054.8179142484203</v>
      </c>
      <c r="I90">
        <v>285.13547457815571</v>
      </c>
      <c r="J90">
        <v>1498.6993224674113</v>
      </c>
      <c r="K90">
        <v>1053.4899785801631</v>
      </c>
      <c r="L90">
        <v>1042.5636046810075</v>
      </c>
      <c r="M90">
        <v>2227.2096057503827</v>
      </c>
      <c r="N90" t="s">
        <v>52</v>
      </c>
      <c r="O90">
        <v>335.57183431337916</v>
      </c>
      <c r="P90">
        <v>326.29881438164671</v>
      </c>
      <c r="Q90">
        <v>116.7663125948411</v>
      </c>
      <c r="R90">
        <v>117.65556894810555</v>
      </c>
      <c r="S90">
        <v>122.63885525591591</v>
      </c>
      <c r="T90">
        <v>583.038845248749</v>
      </c>
      <c r="U90">
        <v>105.97011505227498</v>
      </c>
      <c r="V90">
        <v>81.183580444800825</v>
      </c>
      <c r="W90">
        <v>115.48837563672784</v>
      </c>
      <c r="X90">
        <v>79.827574422843284</v>
      </c>
      <c r="Y90">
        <v>89.309423443024343</v>
      </c>
      <c r="Z90">
        <v>101.98044770898922</v>
      </c>
      <c r="AA90">
        <v>81.937641296156698</v>
      </c>
      <c r="AB90">
        <v>22.407014316961583</v>
      </c>
      <c r="AC90">
        <v>27.781274026824672</v>
      </c>
      <c r="AD90">
        <v>22.564525578957106</v>
      </c>
      <c r="AE90">
        <v>28.464571650266386</v>
      </c>
    </row>
    <row r="91" spans="1:31" x14ac:dyDescent="0.3">
      <c r="A91" t="s">
        <v>98</v>
      </c>
      <c r="B91">
        <v>298.2325456678393</v>
      </c>
      <c r="C91">
        <v>3506.8326387388079</v>
      </c>
      <c r="D91">
        <v>2531.5456179041084</v>
      </c>
      <c r="E91">
        <v>349.20412336330287</v>
      </c>
      <c r="F91">
        <v>356.65338620922745</v>
      </c>
      <c r="G91">
        <v>368.18313976294985</v>
      </c>
      <c r="H91">
        <v>1136.7267194993351</v>
      </c>
      <c r="I91">
        <v>284.10925023388808</v>
      </c>
      <c r="J91">
        <v>1176.2507348184629</v>
      </c>
      <c r="K91">
        <v>1286.7043935649122</v>
      </c>
      <c r="L91">
        <v>1043.8775103554326</v>
      </c>
      <c r="M91">
        <v>2531.5456179041084</v>
      </c>
      <c r="N91" t="s">
        <v>52</v>
      </c>
      <c r="O91">
        <v>349.20412336330287</v>
      </c>
      <c r="P91">
        <v>356.65338620922745</v>
      </c>
      <c r="Q91">
        <v>122.13936630422054</v>
      </c>
      <c r="R91">
        <v>120.33615426854877</v>
      </c>
      <c r="S91">
        <v>125.70761919018055</v>
      </c>
      <c r="T91">
        <v>675.49580099617674</v>
      </c>
      <c r="U91">
        <v>108.86958424507661</v>
      </c>
      <c r="V91">
        <v>89.459557316573196</v>
      </c>
      <c r="W91">
        <v>83.457860615883646</v>
      </c>
      <c r="X91">
        <v>81.572650002514834</v>
      </c>
      <c r="Y91">
        <v>97.871266323110049</v>
      </c>
      <c r="Z91">
        <v>108.64950285433473</v>
      </c>
      <c r="AA91">
        <v>76.911767798927173</v>
      </c>
      <c r="AB91">
        <v>21.754288538698621</v>
      </c>
      <c r="AC91">
        <v>29.378227265252434</v>
      </c>
      <c r="AD91">
        <v>22.715305263814003</v>
      </c>
      <c r="AE91">
        <v>24.700158512861165</v>
      </c>
    </row>
    <row r="92" spans="1:31" x14ac:dyDescent="0.3">
      <c r="A92" t="s">
        <v>99</v>
      </c>
      <c r="B92">
        <v>333.3883600761485</v>
      </c>
      <c r="C92">
        <v>3702.8598422483601</v>
      </c>
      <c r="D92">
        <v>2607.7240805206634</v>
      </c>
      <c r="E92">
        <v>375.55488659791001</v>
      </c>
      <c r="F92">
        <v>359.58683065127985</v>
      </c>
      <c r="G92">
        <v>385.94335686849581</v>
      </c>
      <c r="H92">
        <v>1170.1166883943968</v>
      </c>
      <c r="I92">
        <v>305.90796202962798</v>
      </c>
      <c r="J92">
        <v>1122.7802738941182</v>
      </c>
      <c r="K92">
        <v>1008.4860805025857</v>
      </c>
      <c r="L92">
        <v>1571.5934878516564</v>
      </c>
      <c r="M92">
        <v>2607.7240805206634</v>
      </c>
      <c r="N92" t="s">
        <v>52</v>
      </c>
      <c r="O92">
        <v>375.55488659791001</v>
      </c>
      <c r="P92">
        <v>359.58683065127985</v>
      </c>
      <c r="Q92">
        <v>123.36775657621388</v>
      </c>
      <c r="R92">
        <v>129.35483358066557</v>
      </c>
      <c r="S92">
        <v>133.22076671161636</v>
      </c>
      <c r="T92">
        <v>682.90260500512466</v>
      </c>
      <c r="U92">
        <v>114.007234635819</v>
      </c>
      <c r="V92">
        <v>64.260301078606275</v>
      </c>
      <c r="W92">
        <v>119.1832451896021</v>
      </c>
      <c r="X92">
        <v>83.518021229404596</v>
      </c>
      <c r="Y92">
        <v>106.2452812558402</v>
      </c>
      <c r="Z92">
        <v>117.65382264696078</v>
      </c>
      <c r="AA92">
        <v>87.011845783399281</v>
      </c>
      <c r="AB92">
        <v>23.35781225011991</v>
      </c>
      <c r="AC92">
        <v>27.04114725204294</v>
      </c>
      <c r="AD92">
        <v>23.841017385705182</v>
      </c>
      <c r="AE92">
        <v>27.002316711399878</v>
      </c>
    </row>
    <row r="93" spans="1:31" x14ac:dyDescent="0.3">
      <c r="A93" t="s">
        <v>100</v>
      </c>
      <c r="B93">
        <v>335.54656547850198</v>
      </c>
      <c r="C93">
        <v>3715.79894191208</v>
      </c>
      <c r="D93">
        <v>2953.5818384023992</v>
      </c>
      <c r="E93">
        <v>383.43275547103229</v>
      </c>
      <c r="F93">
        <v>403.10644608018322</v>
      </c>
      <c r="G93">
        <v>375.18660441313517</v>
      </c>
      <c r="H93">
        <v>1233.2750977947571</v>
      </c>
      <c r="I93">
        <v>331.5159915811434</v>
      </c>
      <c r="J93">
        <v>1115.2524810342188</v>
      </c>
      <c r="K93">
        <v>1160.3620398787407</v>
      </c>
      <c r="L93">
        <v>1440.1844209991204</v>
      </c>
      <c r="M93">
        <v>2953.5818384023992</v>
      </c>
      <c r="N93" t="s">
        <v>52</v>
      </c>
      <c r="O93">
        <v>383.43275547103229</v>
      </c>
      <c r="P93">
        <v>403.10644608018322</v>
      </c>
      <c r="Q93">
        <v>129.3372896678427</v>
      </c>
      <c r="R93">
        <v>122.64579435824062</v>
      </c>
      <c r="S93">
        <v>123.20352038705187</v>
      </c>
      <c r="T93">
        <v>794.88441301652131</v>
      </c>
      <c r="U93">
        <v>117.1970125536308</v>
      </c>
      <c r="V93">
        <v>72.790875361589542</v>
      </c>
      <c r="W93">
        <v>104.0656916734375</v>
      </c>
      <c r="X93">
        <v>70.501156238804043</v>
      </c>
      <c r="Y93">
        <v>73.835948950774196</v>
      </c>
      <c r="Z93">
        <v>126.58989097381892</v>
      </c>
      <c r="AA93">
        <v>91.461395412907223</v>
      </c>
      <c r="AB93">
        <v>23.380778320466259</v>
      </c>
      <c r="AC93">
        <v>37.902668360864027</v>
      </c>
      <c r="AD93">
        <v>22.958892756505843</v>
      </c>
      <c r="AE93">
        <v>29.222365756581141</v>
      </c>
    </row>
    <row r="94" spans="1:31" x14ac:dyDescent="0.3">
      <c r="A94" t="s">
        <v>101</v>
      </c>
      <c r="B94">
        <v>372.33374282116642</v>
      </c>
      <c r="C94">
        <v>3892.3529470340386</v>
      </c>
      <c r="D94">
        <v>3193.7019724741622</v>
      </c>
      <c r="E94">
        <v>394.68136215569984</v>
      </c>
      <c r="F94">
        <v>417.4792022792011</v>
      </c>
      <c r="G94">
        <v>395.89429604437919</v>
      </c>
      <c r="H94">
        <v>1339.0330028646245</v>
      </c>
      <c r="I94">
        <v>328.25313526457745</v>
      </c>
      <c r="J94">
        <v>1224.3519841291877</v>
      </c>
      <c r="K94">
        <v>1297.4272713836285</v>
      </c>
      <c r="L94">
        <v>1370.5736915212224</v>
      </c>
      <c r="M94">
        <v>3193.7019724741622</v>
      </c>
      <c r="N94" t="s">
        <v>52</v>
      </c>
      <c r="O94">
        <v>394.68136215569984</v>
      </c>
      <c r="P94">
        <v>417.4792022792011</v>
      </c>
      <c r="Q94">
        <v>131.6118127064307</v>
      </c>
      <c r="R94">
        <v>127.58381594605295</v>
      </c>
      <c r="S94">
        <v>136.69866739189553</v>
      </c>
      <c r="T94">
        <v>917.83764601037547</v>
      </c>
      <c r="U94">
        <v>90.413381976831943</v>
      </c>
      <c r="V94">
        <v>81.71015979605825</v>
      </c>
      <c r="W94">
        <v>73.785310940288866</v>
      </c>
      <c r="X94">
        <v>77.318871486505458</v>
      </c>
      <c r="Y94">
        <v>97.967632654564554</v>
      </c>
      <c r="Z94">
        <v>134.84127656569927</v>
      </c>
      <c r="AA94">
        <v>94.513611615245026</v>
      </c>
      <c r="AB94">
        <v>22.326520751799872</v>
      </c>
      <c r="AC94">
        <v>26.031327807368665</v>
      </c>
      <c r="AD94">
        <v>22.343477940996092</v>
      </c>
      <c r="AE94">
        <v>28.196920583468504</v>
      </c>
    </row>
    <row r="95" spans="1:31" x14ac:dyDescent="0.3">
      <c r="A95" t="s">
        <v>102</v>
      </c>
      <c r="B95">
        <v>5.6651973618798621</v>
      </c>
      <c r="C95">
        <v>1844.5832330653539</v>
      </c>
      <c r="D95">
        <v>177.03100562908816</v>
      </c>
      <c r="E95">
        <v>116.21518830522105</v>
      </c>
      <c r="F95">
        <v>119.01007248934388</v>
      </c>
      <c r="G95">
        <v>286.65562857350028</v>
      </c>
      <c r="H95">
        <v>524.11488454935989</v>
      </c>
      <c r="I95">
        <v>181.29396405346495</v>
      </c>
      <c r="J95">
        <v>473.44634637578764</v>
      </c>
      <c r="K95">
        <v>859.12746543535911</v>
      </c>
      <c r="L95">
        <v>512.00942125420715</v>
      </c>
      <c r="M95">
        <v>177.03100562908816</v>
      </c>
      <c r="N95" t="s">
        <v>52</v>
      </c>
      <c r="O95">
        <v>116.21518830522105</v>
      </c>
      <c r="P95">
        <v>119.01007248934388</v>
      </c>
      <c r="Q95">
        <v>97.910673976136849</v>
      </c>
      <c r="R95">
        <v>99.735052501544217</v>
      </c>
      <c r="S95">
        <v>89.009902095819214</v>
      </c>
      <c r="T95">
        <v>80.604479028278647</v>
      </c>
      <c r="U95">
        <v>97.751627708400179</v>
      </c>
      <c r="V95">
        <v>81.522556799652179</v>
      </c>
      <c r="W95">
        <v>95.17881054131027</v>
      </c>
      <c r="X95">
        <v>78.514072656481957</v>
      </c>
      <c r="Y95">
        <v>90.543337815236612</v>
      </c>
      <c r="Z95">
        <v>29.289674700381973</v>
      </c>
      <c r="AA95">
        <v>37.220808503784802</v>
      </c>
      <c r="AB95">
        <v>29.432179322469402</v>
      </c>
      <c r="AC95">
        <v>35.691401324085788</v>
      </c>
      <c r="AD95">
        <v>22.032501407393525</v>
      </c>
      <c r="AE95">
        <v>27.627398795349436</v>
      </c>
    </row>
    <row r="96" spans="1:31" x14ac:dyDescent="0.3">
      <c r="A96" t="s">
        <v>103</v>
      </c>
      <c r="B96">
        <v>92.612463390823123</v>
      </c>
      <c r="C96">
        <v>3113.7377612470423</v>
      </c>
      <c r="D96">
        <v>866.44371510742769</v>
      </c>
      <c r="E96">
        <v>459.49223532807673</v>
      </c>
      <c r="F96">
        <v>451.94597082566276</v>
      </c>
      <c r="G96">
        <v>310.70726784478666</v>
      </c>
      <c r="H96">
        <v>573.95146983925235</v>
      </c>
      <c r="I96">
        <v>203.18405247972845</v>
      </c>
      <c r="J96">
        <v>1025.1041150896585</v>
      </c>
      <c r="K96">
        <v>1222.9327002085613</v>
      </c>
      <c r="L96">
        <v>865.7009459488221</v>
      </c>
      <c r="M96">
        <v>866.44371510742769</v>
      </c>
      <c r="N96" t="s">
        <v>52</v>
      </c>
      <c r="O96">
        <v>459.49223532807673</v>
      </c>
      <c r="P96">
        <v>451.94597082566276</v>
      </c>
      <c r="Q96">
        <v>102.96912696139267</v>
      </c>
      <c r="R96">
        <v>106.16103980153198</v>
      </c>
      <c r="S96">
        <v>101.57710108186203</v>
      </c>
      <c r="T96">
        <v>80.969485434891268</v>
      </c>
      <c r="U96">
        <v>111.40529713623535</v>
      </c>
      <c r="V96">
        <v>80.844455945929496</v>
      </c>
      <c r="W96">
        <v>101.7671296045135</v>
      </c>
      <c r="X96">
        <v>73.562221293199457</v>
      </c>
      <c r="Y96">
        <v>125.40288042448324</v>
      </c>
      <c r="Z96">
        <v>44.704638207870318</v>
      </c>
      <c r="AA96">
        <v>46.929804227871728</v>
      </c>
      <c r="AB96">
        <v>30.218993621544925</v>
      </c>
      <c r="AC96">
        <v>33.012865777032822</v>
      </c>
      <c r="AD96">
        <v>21.973637615581403</v>
      </c>
      <c r="AE96">
        <v>26.344113029827259</v>
      </c>
    </row>
    <row r="97" spans="1:31" x14ac:dyDescent="0.3">
      <c r="A97" t="s">
        <v>104</v>
      </c>
      <c r="B97">
        <v>145.57629963804223</v>
      </c>
      <c r="C97">
        <v>3743.7507149594367</v>
      </c>
      <c r="D97">
        <v>1272.6760642517181</v>
      </c>
      <c r="E97">
        <v>641.10121827057435</v>
      </c>
      <c r="F97">
        <v>674.69326252084056</v>
      </c>
      <c r="G97">
        <v>326.37717830575718</v>
      </c>
      <c r="H97">
        <v>516.48202081299803</v>
      </c>
      <c r="I97">
        <v>225.31388740393754</v>
      </c>
      <c r="J97">
        <v>1185.4229944652132</v>
      </c>
      <c r="K97">
        <v>1260.0232408511401</v>
      </c>
      <c r="L97">
        <v>1298.3044796430829</v>
      </c>
      <c r="M97">
        <v>1272.6760642517181</v>
      </c>
      <c r="N97" t="s">
        <v>52</v>
      </c>
      <c r="O97">
        <v>641.10121827057435</v>
      </c>
      <c r="P97">
        <v>674.69326252084056</v>
      </c>
      <c r="Q97">
        <v>114.34007837724607</v>
      </c>
      <c r="R97">
        <v>104.23431914202148</v>
      </c>
      <c r="S97">
        <v>107.80278078648961</v>
      </c>
      <c r="T97">
        <v>96.075016962152489</v>
      </c>
      <c r="U97">
        <v>73.264893360437839</v>
      </c>
      <c r="V97">
        <v>84.614206642066364</v>
      </c>
      <c r="W97">
        <v>102.48073365607918</v>
      </c>
      <c r="X97">
        <v>64.30535265587551</v>
      </c>
      <c r="Y97">
        <v>95.741817536386648</v>
      </c>
      <c r="Z97">
        <v>58.689761694615875</v>
      </c>
      <c r="AA97">
        <v>47.930212434560552</v>
      </c>
      <c r="AB97">
        <v>28.654821878373582</v>
      </c>
      <c r="AC97">
        <v>38.065095554704691</v>
      </c>
      <c r="AD97">
        <v>23.334130079255317</v>
      </c>
      <c r="AE97">
        <v>28.639865762427515</v>
      </c>
    </row>
    <row r="98" spans="1:31" x14ac:dyDescent="0.3">
      <c r="A98" t="s">
        <v>105</v>
      </c>
      <c r="B98">
        <v>187.56808076755846</v>
      </c>
      <c r="C98">
        <v>4482.9005236860185</v>
      </c>
      <c r="D98">
        <v>1706.8389143751886</v>
      </c>
      <c r="E98">
        <v>822.68969098441721</v>
      </c>
      <c r="F98">
        <v>799.80871203418269</v>
      </c>
      <c r="G98">
        <v>334.47944639677382</v>
      </c>
      <c r="H98">
        <v>563.00399492029999</v>
      </c>
      <c r="I98">
        <v>252.77166734715857</v>
      </c>
      <c r="J98">
        <v>1365.5513384045</v>
      </c>
      <c r="K98">
        <v>1764.6865629027086</v>
      </c>
      <c r="L98">
        <v>1352.6626223788098</v>
      </c>
      <c r="M98">
        <v>1706.8389143751886</v>
      </c>
      <c r="N98" t="s">
        <v>52</v>
      </c>
      <c r="O98">
        <v>822.68969098441721</v>
      </c>
      <c r="P98">
        <v>799.80871203418269</v>
      </c>
      <c r="Q98">
        <v>108.59225700164684</v>
      </c>
      <c r="R98">
        <v>113.49415196477162</v>
      </c>
      <c r="S98">
        <v>112.39303743035536</v>
      </c>
      <c r="T98">
        <v>96.117198274597143</v>
      </c>
      <c r="U98">
        <v>91.452642629834756</v>
      </c>
      <c r="V98">
        <v>82.817573509730977</v>
      </c>
      <c r="W98">
        <v>97.297795303818006</v>
      </c>
      <c r="X98">
        <v>95.436300228380887</v>
      </c>
      <c r="Y98">
        <v>99.882484973938134</v>
      </c>
      <c r="Z98">
        <v>67.786324786324897</v>
      </c>
      <c r="AA98">
        <v>61.489521889913149</v>
      </c>
      <c r="AB98">
        <v>29.076482979221399</v>
      </c>
      <c r="AC98">
        <v>39.714973942552369</v>
      </c>
      <c r="AD98">
        <v>24.142284088181832</v>
      </c>
      <c r="AE98">
        <v>30.562079660964912</v>
      </c>
    </row>
    <row r="99" spans="1:31" x14ac:dyDescent="0.3">
      <c r="A99" t="s">
        <v>106</v>
      </c>
      <c r="B99">
        <v>229.44281851882889</v>
      </c>
      <c r="C99">
        <v>4604.7226091442744</v>
      </c>
      <c r="D99">
        <v>2102.8699835526299</v>
      </c>
      <c r="E99">
        <v>995.40139370696909</v>
      </c>
      <c r="F99">
        <v>1047.7099204153751</v>
      </c>
      <c r="G99">
        <v>359.38232629831464</v>
      </c>
      <c r="H99">
        <v>578.50757795757272</v>
      </c>
      <c r="I99">
        <v>262.61072400462842</v>
      </c>
      <c r="J99">
        <v>1440.3623139380386</v>
      </c>
      <c r="K99">
        <v>1473.0698675452909</v>
      </c>
      <c r="L99">
        <v>1691.2904276609452</v>
      </c>
      <c r="M99">
        <v>2102.8699835526299</v>
      </c>
      <c r="N99" t="s">
        <v>52</v>
      </c>
      <c r="O99">
        <v>995.40139370696909</v>
      </c>
      <c r="P99">
        <v>1047.7099204153751</v>
      </c>
      <c r="Q99">
        <v>119.4854311666864</v>
      </c>
      <c r="R99">
        <v>121.24735423121773</v>
      </c>
      <c r="S99">
        <v>118.64954090041047</v>
      </c>
      <c r="T99">
        <v>88.339441925803129</v>
      </c>
      <c r="U99">
        <v>106.86847453514125</v>
      </c>
      <c r="V99">
        <v>86.690760139672307</v>
      </c>
      <c r="W99">
        <v>87.847982740021536</v>
      </c>
      <c r="X99">
        <v>81.380083787491188</v>
      </c>
      <c r="Y99">
        <v>127.38083482944337</v>
      </c>
      <c r="Z99">
        <v>80.487050170738215</v>
      </c>
      <c r="AA99">
        <v>65.907344542513542</v>
      </c>
      <c r="AB99">
        <v>27.923712690640286</v>
      </c>
      <c r="AC99">
        <v>37.992440918719062</v>
      </c>
      <c r="AD99">
        <v>22.686098419200722</v>
      </c>
      <c r="AE99">
        <v>27.614077262816579</v>
      </c>
    </row>
    <row r="100" spans="1:31" x14ac:dyDescent="0.3">
      <c r="A100" t="s">
        <v>107</v>
      </c>
      <c r="B100">
        <v>255.21239634965494</v>
      </c>
      <c r="C100">
        <v>4991.3303568216561</v>
      </c>
      <c r="D100">
        <v>2502.4319542839235</v>
      </c>
      <c r="E100">
        <v>1195.5310614262744</v>
      </c>
      <c r="F100">
        <v>1268.8695491773019</v>
      </c>
      <c r="G100">
        <v>431.64171951753576</v>
      </c>
      <c r="H100">
        <v>580.1122068254673</v>
      </c>
      <c r="I100">
        <v>275.98306253942263</v>
      </c>
      <c r="J100">
        <v>1539.142651315809</v>
      </c>
      <c r="K100">
        <v>1841.8698012593422</v>
      </c>
      <c r="L100">
        <v>1610.3179042465044</v>
      </c>
      <c r="M100">
        <v>2502.4319542839235</v>
      </c>
      <c r="N100" t="s">
        <v>52</v>
      </c>
      <c r="O100">
        <v>1195.5310614262744</v>
      </c>
      <c r="P100">
        <v>1268.8695491773019</v>
      </c>
      <c r="Q100">
        <v>176.12677061807238</v>
      </c>
      <c r="R100">
        <v>122.4560213108163</v>
      </c>
      <c r="S100">
        <v>133.05892758864704</v>
      </c>
      <c r="T100">
        <v>71.945042703304637</v>
      </c>
      <c r="U100">
        <v>121.77611595351298</v>
      </c>
      <c r="V100">
        <v>67.924986636574246</v>
      </c>
      <c r="W100">
        <v>139.13268722466941</v>
      </c>
      <c r="X100">
        <v>77.38346795755848</v>
      </c>
      <c r="Y100">
        <v>101.9499063498475</v>
      </c>
      <c r="Z100">
        <v>84.804214862937812</v>
      </c>
      <c r="AA100">
        <v>74.998226341686404</v>
      </c>
      <c r="AB100">
        <v>29.54430016911747</v>
      </c>
      <c r="AC100">
        <v>34.153706246984093</v>
      </c>
      <c r="AD100">
        <v>23.639506563340188</v>
      </c>
      <c r="AE100">
        <v>28.843108355356716</v>
      </c>
    </row>
    <row r="101" spans="1:31" x14ac:dyDescent="0.3">
      <c r="A101" t="s">
        <v>108</v>
      </c>
      <c r="B101">
        <v>296.80207893454548</v>
      </c>
      <c r="C101">
        <v>5418.4419959881961</v>
      </c>
      <c r="D101">
        <v>2803.6919820479307</v>
      </c>
      <c r="E101">
        <v>1354.1259205376002</v>
      </c>
      <c r="F101">
        <v>1387.7809211794192</v>
      </c>
      <c r="G101">
        <v>378.37056483514698</v>
      </c>
      <c r="H101">
        <v>569.50290225017829</v>
      </c>
      <c r="I101">
        <v>291.79505304424146</v>
      </c>
      <c r="J101">
        <v>1549.97055871669</v>
      </c>
      <c r="K101">
        <v>2165.3607526067258</v>
      </c>
      <c r="L101">
        <v>1703.1106846647804</v>
      </c>
      <c r="M101">
        <v>2803.6919820479307</v>
      </c>
      <c r="N101" t="s">
        <v>52</v>
      </c>
      <c r="O101">
        <v>1354.1259205376002</v>
      </c>
      <c r="P101">
        <v>1387.7809211794192</v>
      </c>
      <c r="Q101">
        <v>123.97121719606891</v>
      </c>
      <c r="R101">
        <v>124.97652884713199</v>
      </c>
      <c r="S101">
        <v>129.42281879194607</v>
      </c>
      <c r="T101">
        <v>92.60838659907408</v>
      </c>
      <c r="U101">
        <v>123.3621500965256</v>
      </c>
      <c r="V101">
        <v>73.436156681125908</v>
      </c>
      <c r="W101">
        <v>97.282733978791896</v>
      </c>
      <c r="X101">
        <v>83.0105444126077</v>
      </c>
      <c r="Y101">
        <v>99.8029304820531</v>
      </c>
      <c r="Z101">
        <v>98.866742244666924</v>
      </c>
      <c r="AA101">
        <v>73.486351403306273</v>
      </c>
      <c r="AB101">
        <v>29.372509617040798</v>
      </c>
      <c r="AC101">
        <v>37.154312219162129</v>
      </c>
      <c r="AD101">
        <v>21.643151407851342</v>
      </c>
      <c r="AE101">
        <v>31.271986152213994</v>
      </c>
    </row>
    <row r="102" spans="1:31" x14ac:dyDescent="0.3">
      <c r="A102" t="s">
        <v>109</v>
      </c>
      <c r="B102">
        <v>314.93179445539982</v>
      </c>
      <c r="C102">
        <v>5521.0987511361527</v>
      </c>
      <c r="D102">
        <v>3237.799563080282</v>
      </c>
      <c r="E102">
        <v>1489.4126896557302</v>
      </c>
      <c r="F102">
        <v>1524.389123757903</v>
      </c>
      <c r="G102">
        <v>383.39208405246245</v>
      </c>
      <c r="H102">
        <v>581.04875891954362</v>
      </c>
      <c r="I102">
        <v>290.83836501598518</v>
      </c>
      <c r="J102">
        <v>1738.1367471792871</v>
      </c>
      <c r="K102">
        <v>2014.7278486666082</v>
      </c>
      <c r="L102">
        <v>1768.2341552902567</v>
      </c>
      <c r="M102">
        <v>3237.799563080282</v>
      </c>
      <c r="N102" t="s">
        <v>52</v>
      </c>
      <c r="O102">
        <v>1489.4126896557302</v>
      </c>
      <c r="P102">
        <v>1524.389123757903</v>
      </c>
      <c r="Q102">
        <v>130.28996366208946</v>
      </c>
      <c r="R102">
        <v>127.68727928469411</v>
      </c>
      <c r="S102">
        <v>125.4148411056789</v>
      </c>
      <c r="T102">
        <v>84.991933847403075</v>
      </c>
      <c r="U102">
        <v>110.27398776201018</v>
      </c>
      <c r="V102">
        <v>94.075298513524473</v>
      </c>
      <c r="W102">
        <v>110.69534941556834</v>
      </c>
      <c r="X102">
        <v>80.538032219541108</v>
      </c>
      <c r="Y102">
        <v>100.47415716149648</v>
      </c>
      <c r="Z102">
        <v>100.64628297362064</v>
      </c>
      <c r="AA102">
        <v>80.170384057014786</v>
      </c>
      <c r="AB102">
        <v>28.276075094348705</v>
      </c>
      <c r="AC102">
        <v>31.494800516549891</v>
      </c>
      <c r="AD102">
        <v>22.537218901223955</v>
      </c>
      <c r="AE102">
        <v>27.713603473227206</v>
      </c>
    </row>
    <row r="103" spans="1:31" x14ac:dyDescent="0.3">
      <c r="A103" t="s">
        <v>110</v>
      </c>
      <c r="B103">
        <v>352.86134916135859</v>
      </c>
      <c r="C103">
        <v>5608.3112702467297</v>
      </c>
      <c r="D103">
        <v>3564.1446831220846</v>
      </c>
      <c r="E103">
        <v>1732.3793837348205</v>
      </c>
      <c r="F103">
        <v>1568.1383918881224</v>
      </c>
      <c r="G103">
        <v>409.90574777933233</v>
      </c>
      <c r="H103">
        <v>581.42469976885036</v>
      </c>
      <c r="I103">
        <v>317.44802148435218</v>
      </c>
      <c r="J103">
        <v>1790.1947338193847</v>
      </c>
      <c r="K103">
        <v>1658.3731767996862</v>
      </c>
      <c r="L103">
        <v>2159.7433596276592</v>
      </c>
      <c r="M103">
        <v>3564.1446831220846</v>
      </c>
      <c r="N103" t="s">
        <v>52</v>
      </c>
      <c r="O103">
        <v>1732.3793837348205</v>
      </c>
      <c r="P103">
        <v>1568.1383918881224</v>
      </c>
      <c r="Q103">
        <v>149.23181300884175</v>
      </c>
      <c r="R103">
        <v>129.07406590984183</v>
      </c>
      <c r="S103">
        <v>131.59986886064877</v>
      </c>
      <c r="T103">
        <v>71.293799013663218</v>
      </c>
      <c r="U103">
        <v>107.8124304195935</v>
      </c>
      <c r="V103">
        <v>98.826276144507474</v>
      </c>
      <c r="W103">
        <v>104.979493043644</v>
      </c>
      <c r="X103">
        <v>96.075220721510888</v>
      </c>
      <c r="Y103">
        <v>102.43748042593127</v>
      </c>
      <c r="Z103">
        <v>109.55290329448101</v>
      </c>
      <c r="AA103">
        <v>85.498190882045606</v>
      </c>
      <c r="AB103">
        <v>29.43958045014201</v>
      </c>
      <c r="AC103">
        <v>38.962417954689769</v>
      </c>
      <c r="AD103">
        <v>23.54133685136334</v>
      </c>
      <c r="AE103">
        <v>30.45359205163043</v>
      </c>
    </row>
    <row r="104" spans="1:31" x14ac:dyDescent="0.3">
      <c r="A104" t="s">
        <v>111</v>
      </c>
      <c r="B104">
        <v>357.56141842552859</v>
      </c>
      <c r="C104">
        <v>5614.3457336243537</v>
      </c>
      <c r="D104">
        <v>3830.0662643828878</v>
      </c>
      <c r="E104">
        <v>1719.2315467675967</v>
      </c>
      <c r="F104">
        <v>1801.158951735036</v>
      </c>
      <c r="G104">
        <v>400.94064606412303</v>
      </c>
      <c r="H104">
        <v>583.88313874123116</v>
      </c>
      <c r="I104">
        <v>328.07736083048809</v>
      </c>
      <c r="J104">
        <v>1682.8635974751546</v>
      </c>
      <c r="K104">
        <v>2227.9324522444463</v>
      </c>
      <c r="L104">
        <v>1703.5496839047532</v>
      </c>
      <c r="M104">
        <v>3830.0662643828878</v>
      </c>
      <c r="N104" t="s">
        <v>52</v>
      </c>
      <c r="O104">
        <v>1719.2315467675967</v>
      </c>
      <c r="P104">
        <v>1801.158951735036</v>
      </c>
      <c r="Q104">
        <v>132.87094066992603</v>
      </c>
      <c r="R104">
        <v>136.754363950075</v>
      </c>
      <c r="S104">
        <v>131.31534144412197</v>
      </c>
      <c r="T104">
        <v>96.318666517005255</v>
      </c>
      <c r="U104">
        <v>115.71439355812741</v>
      </c>
      <c r="V104">
        <v>77.196866748811559</v>
      </c>
      <c r="W104">
        <v>112.62441695396458</v>
      </c>
      <c r="X104">
        <v>91.3138246224932</v>
      </c>
      <c r="Y104">
        <v>90.71497034082924</v>
      </c>
      <c r="Z104">
        <v>113.07465403172228</v>
      </c>
      <c r="AA104">
        <v>91.345041386365764</v>
      </c>
      <c r="AB104">
        <v>29.438256658595705</v>
      </c>
      <c r="AC104">
        <v>37.644924636521196</v>
      </c>
      <c r="AD104">
        <v>25.29610829103208</v>
      </c>
      <c r="AE104">
        <v>31.278375826251093</v>
      </c>
    </row>
    <row r="105" spans="1:31" x14ac:dyDescent="0.3">
      <c r="A105" t="s">
        <v>112</v>
      </c>
      <c r="B105">
        <v>402.48175707362827</v>
      </c>
      <c r="C105">
        <v>5689.755228651843</v>
      </c>
      <c r="D105">
        <v>4169.5600940054883</v>
      </c>
      <c r="E105">
        <v>2012.5715114642423</v>
      </c>
      <c r="F105">
        <v>1982.2638064552584</v>
      </c>
      <c r="G105">
        <v>418.01306834965442</v>
      </c>
      <c r="H105">
        <v>548.57478280162411</v>
      </c>
      <c r="I105">
        <v>326.48406174686272</v>
      </c>
      <c r="J105">
        <v>1816.8600843932275</v>
      </c>
      <c r="K105">
        <v>1771.4016115945797</v>
      </c>
      <c r="L105">
        <v>2101.4935326640361</v>
      </c>
      <c r="M105">
        <v>4169.5600940054883</v>
      </c>
      <c r="N105" t="s">
        <v>52</v>
      </c>
      <c r="O105">
        <v>2012.5715114642423</v>
      </c>
      <c r="P105">
        <v>1982.2638064552584</v>
      </c>
      <c r="Q105">
        <v>143.00355183570093</v>
      </c>
      <c r="R105">
        <v>139.24496221662491</v>
      </c>
      <c r="S105">
        <v>135.76455429732854</v>
      </c>
      <c r="T105">
        <v>84.242705415499344</v>
      </c>
      <c r="U105">
        <v>111.1238366363734</v>
      </c>
      <c r="V105">
        <v>77.807020462485696</v>
      </c>
      <c r="W105">
        <v>78.813298242898028</v>
      </c>
      <c r="X105">
        <v>87.585549422980577</v>
      </c>
      <c r="Y105">
        <v>109.00237262138705</v>
      </c>
      <c r="Z105">
        <v>124.18823688388909</v>
      </c>
      <c r="AA105">
        <v>89.737284619852261</v>
      </c>
      <c r="AB105">
        <v>28.524267526546868</v>
      </c>
      <c r="AC105">
        <v>34.170307640424127</v>
      </c>
      <c r="AD105">
        <v>22.57273033213389</v>
      </c>
      <c r="AE105">
        <v>27.291234744016464</v>
      </c>
    </row>
    <row r="106" spans="1:31" x14ac:dyDescent="0.3">
      <c r="A106" t="s">
        <v>113</v>
      </c>
      <c r="B106">
        <v>399.26685721709873</v>
      </c>
      <c r="C106">
        <v>5773.4607229597332</v>
      </c>
      <c r="D106">
        <v>4578.5641337575553</v>
      </c>
      <c r="E106">
        <v>1896.8880942795638</v>
      </c>
      <c r="F106">
        <v>2090.246778864313</v>
      </c>
      <c r="G106">
        <v>427.28165202461213</v>
      </c>
      <c r="H106">
        <v>502.47231736007092</v>
      </c>
      <c r="I106">
        <v>340.0406227677571</v>
      </c>
      <c r="J106">
        <v>1790.3229433936269</v>
      </c>
      <c r="K106">
        <v>2242.4297989972715</v>
      </c>
      <c r="L106">
        <v>1740.7079805688345</v>
      </c>
      <c r="M106">
        <v>4578.5641337575553</v>
      </c>
      <c r="N106" t="s">
        <v>52</v>
      </c>
      <c r="O106">
        <v>1896.8880942795638</v>
      </c>
      <c r="P106">
        <v>2090.246778864313</v>
      </c>
      <c r="Q106">
        <v>141.22496958419822</v>
      </c>
      <c r="R106">
        <v>136.28126025598911</v>
      </c>
      <c r="S106">
        <v>149.77542218442483</v>
      </c>
      <c r="T106">
        <v>79.944226388164751</v>
      </c>
      <c r="U106">
        <v>84.703171909672136</v>
      </c>
      <c r="V106">
        <v>64.167060050499188</v>
      </c>
      <c r="W106">
        <v>95.3199502281213</v>
      </c>
      <c r="X106">
        <v>90.910351725287484</v>
      </c>
      <c r="Y106">
        <v>87.427557058326059</v>
      </c>
      <c r="Z106">
        <v>129.7366991286523</v>
      </c>
      <c r="AA106">
        <v>92.076046984897715</v>
      </c>
      <c r="AB106">
        <v>31.881166005622124</v>
      </c>
      <c r="AC106">
        <v>34.36769279150213</v>
      </c>
      <c r="AD106">
        <v>24.023337759166701</v>
      </c>
      <c r="AE106">
        <v>27.955680097916087</v>
      </c>
    </row>
    <row r="107" spans="1:31" x14ac:dyDescent="0.3">
      <c r="A107" t="s">
        <v>114</v>
      </c>
      <c r="B107">
        <v>434.31385303384451</v>
      </c>
      <c r="C107">
        <v>5888.0599626755265</v>
      </c>
      <c r="D107">
        <v>4566.4454424852129</v>
      </c>
      <c r="E107">
        <v>2226.1124189626426</v>
      </c>
      <c r="F107">
        <v>2174.4997117047874</v>
      </c>
      <c r="G107">
        <v>425.76449586061278</v>
      </c>
      <c r="H107">
        <v>538.48216260000925</v>
      </c>
      <c r="I107">
        <v>352.0530095462255</v>
      </c>
      <c r="J107">
        <v>1899.2880019776087</v>
      </c>
      <c r="K107">
        <v>2131.1596824438352</v>
      </c>
      <c r="L107">
        <v>1857.6122782540829</v>
      </c>
      <c r="M107">
        <v>4566.4454424852129</v>
      </c>
      <c r="N107" t="s">
        <v>52</v>
      </c>
      <c r="O107">
        <v>2226.1124189626426</v>
      </c>
      <c r="P107">
        <v>2174.4997117047874</v>
      </c>
      <c r="Q107">
        <v>143.41532499700406</v>
      </c>
      <c r="R107">
        <v>141.48691208676618</v>
      </c>
      <c r="S107">
        <v>140.86225877684251</v>
      </c>
      <c r="T107">
        <v>102.60310445987574</v>
      </c>
      <c r="U107">
        <v>113.35306271268831</v>
      </c>
      <c r="V107">
        <v>85.308048774173741</v>
      </c>
      <c r="W107">
        <v>88.758610792192755</v>
      </c>
      <c r="X107">
        <v>68.15881712909021</v>
      </c>
      <c r="Y107">
        <v>80.300518731988504</v>
      </c>
      <c r="Z107">
        <v>132.42190571327288</v>
      </c>
      <c r="AA107">
        <v>98.53038979631701</v>
      </c>
      <c r="AB107">
        <v>30.873271232876707</v>
      </c>
      <c r="AC107">
        <v>35.269465685567212</v>
      </c>
      <c r="AD107">
        <v>24.501121550014574</v>
      </c>
      <c r="AE107">
        <v>30.456855568177115</v>
      </c>
    </row>
    <row r="108" spans="1:31" x14ac:dyDescent="0.3">
      <c r="A108" t="s">
        <v>115</v>
      </c>
      <c r="B108">
        <v>461.39097262829591</v>
      </c>
      <c r="C108">
        <v>6058.2983752776618</v>
      </c>
      <c r="D108">
        <v>5017.5668491524275</v>
      </c>
      <c r="E108">
        <v>2411.6944349312162</v>
      </c>
      <c r="F108">
        <v>2403.8211459754407</v>
      </c>
      <c r="G108">
        <v>452.75491404329512</v>
      </c>
      <c r="H108">
        <v>555.07690440024066</v>
      </c>
      <c r="I108">
        <v>360.01107732404762</v>
      </c>
      <c r="J108">
        <v>1924.4129527487189</v>
      </c>
      <c r="K108">
        <v>2329.7051361028166</v>
      </c>
      <c r="L108">
        <v>1804.1802864261258</v>
      </c>
      <c r="M108">
        <v>5017.5668491524275</v>
      </c>
      <c r="N108" t="s">
        <v>52</v>
      </c>
      <c r="O108">
        <v>2411.6944349312162</v>
      </c>
      <c r="P108">
        <v>2403.8211459754407</v>
      </c>
      <c r="Q108">
        <v>148.39580527227213</v>
      </c>
      <c r="R108">
        <v>151.95980761848881</v>
      </c>
      <c r="S108">
        <v>152.39930115253418</v>
      </c>
      <c r="T108">
        <v>86.521905189844972</v>
      </c>
      <c r="U108">
        <v>116.89750371962324</v>
      </c>
      <c r="V108">
        <v>83.823666153199909</v>
      </c>
      <c r="W108">
        <v>101.08987566607466</v>
      </c>
      <c r="X108">
        <v>75.929939570519082</v>
      </c>
      <c r="Y108">
        <v>90.814014100978753</v>
      </c>
      <c r="Z108">
        <v>142.04593592445389</v>
      </c>
      <c r="AA108">
        <v>104.8019724745084</v>
      </c>
      <c r="AB108">
        <v>27.729192469655654</v>
      </c>
      <c r="AC108">
        <v>32.185312192306483</v>
      </c>
      <c r="AD108">
        <v>22.862150198037728</v>
      </c>
      <c r="AE108">
        <v>30.386514065085475</v>
      </c>
    </row>
    <row r="109" spans="1:31" x14ac:dyDescent="0.3">
      <c r="A109" t="s">
        <v>116</v>
      </c>
      <c r="B109">
        <v>488.27140319715869</v>
      </c>
      <c r="C109">
        <v>5846.2442876339783</v>
      </c>
      <c r="D109">
        <v>5656.5473193175294</v>
      </c>
      <c r="E109">
        <v>2500.8666287692449</v>
      </c>
      <c r="F109">
        <v>2560.9041607974818</v>
      </c>
      <c r="G109">
        <v>457.71240280561187</v>
      </c>
      <c r="H109">
        <v>599.70666534434929</v>
      </c>
      <c r="I109">
        <v>379.01375257872832</v>
      </c>
      <c r="J109">
        <v>1734.6901773850666</v>
      </c>
      <c r="K109">
        <v>2142.0791285975151</v>
      </c>
      <c r="L109">
        <v>1969.474981651397</v>
      </c>
      <c r="M109">
        <v>5656.5473193175294</v>
      </c>
      <c r="N109" t="s">
        <v>52</v>
      </c>
      <c r="O109">
        <v>2500.8666287692449</v>
      </c>
      <c r="P109">
        <v>2560.9041607974818</v>
      </c>
      <c r="Q109">
        <v>149.13598983753369</v>
      </c>
      <c r="R109">
        <v>159.67105028795362</v>
      </c>
      <c r="S109">
        <v>148.90536268012454</v>
      </c>
      <c r="T109">
        <v>111.6478062722074</v>
      </c>
      <c r="U109">
        <v>112.62339831343765</v>
      </c>
      <c r="V109">
        <v>85.910439653708892</v>
      </c>
      <c r="W109">
        <v>93.5163871418589</v>
      </c>
      <c r="X109">
        <v>92.80591876960662</v>
      </c>
      <c r="Y109">
        <v>103.20271519352984</v>
      </c>
      <c r="Z109">
        <v>148.74520376887273</v>
      </c>
      <c r="AA109">
        <v>105.06258979154788</v>
      </c>
      <c r="AB109">
        <v>29.602097945121219</v>
      </c>
      <c r="AC109">
        <v>40.357845834097425</v>
      </c>
      <c r="AD109">
        <v>22.753371247654794</v>
      </c>
      <c r="AE109">
        <v>32.492643991434271</v>
      </c>
    </row>
    <row r="110" spans="1:31" x14ac:dyDescent="0.3">
      <c r="A110" t="s">
        <v>117</v>
      </c>
      <c r="B110">
        <v>6.0459357131819305</v>
      </c>
      <c r="C110">
        <v>363.86029932878455</v>
      </c>
      <c r="D110">
        <v>21.666497884191177</v>
      </c>
      <c r="E110">
        <v>20.678316514070655</v>
      </c>
      <c r="F110">
        <v>11.075374752521878</v>
      </c>
      <c r="G110">
        <v>35.588109645745149</v>
      </c>
      <c r="H110">
        <v>439.16805016315465</v>
      </c>
      <c r="I110">
        <v>197.12422162534128</v>
      </c>
      <c r="J110">
        <v>188.96675534798004</v>
      </c>
      <c r="K110">
        <v>66.727959557470413</v>
      </c>
      <c r="L110">
        <v>108.16558442333412</v>
      </c>
      <c r="M110">
        <v>21.666497884191177</v>
      </c>
      <c r="N110" t="s">
        <v>52</v>
      </c>
      <c r="O110">
        <v>20.678316514070655</v>
      </c>
      <c r="P110">
        <v>11.075374752521878</v>
      </c>
      <c r="Q110">
        <v>26.758001265022081</v>
      </c>
      <c r="R110">
        <v>4.4026659852646199</v>
      </c>
      <c r="S110">
        <v>4.4274423954584483</v>
      </c>
      <c r="T110">
        <v>59.139177930652934</v>
      </c>
      <c r="U110">
        <v>97.346088527551814</v>
      </c>
      <c r="V110">
        <v>57.666709232537478</v>
      </c>
      <c r="W110">
        <v>79.074706759879547</v>
      </c>
      <c r="X110">
        <v>54.067487196431671</v>
      </c>
      <c r="Y110">
        <v>91.873880516101224</v>
      </c>
      <c r="Z110">
        <v>30.686444360749704</v>
      </c>
      <c r="AA110">
        <v>35.948253599328545</v>
      </c>
      <c r="AB110">
        <v>28.869517893171938</v>
      </c>
      <c r="AC110">
        <v>37.405029163966404</v>
      </c>
      <c r="AD110">
        <v>27.847129196680658</v>
      </c>
      <c r="AE110">
        <v>36.367847411443996</v>
      </c>
    </row>
    <row r="111" spans="1:31" x14ac:dyDescent="0.3">
      <c r="A111" t="s">
        <v>119</v>
      </c>
      <c r="B111">
        <v>86.270474208027622</v>
      </c>
      <c r="C111">
        <v>2053.4604804878736</v>
      </c>
      <c r="D111">
        <v>814.6560668831421</v>
      </c>
      <c r="E111">
        <v>362.75569380896764</v>
      </c>
      <c r="F111">
        <v>366.89170759283309</v>
      </c>
      <c r="G111">
        <v>31.599928312898871</v>
      </c>
      <c r="H111">
        <v>480.46612663900868</v>
      </c>
      <c r="I111">
        <v>231.833887198312</v>
      </c>
      <c r="J111">
        <v>593.23182543859366</v>
      </c>
      <c r="K111">
        <v>549.77913125763075</v>
      </c>
      <c r="L111">
        <v>910.44952379164943</v>
      </c>
      <c r="M111">
        <v>814.6560668831421</v>
      </c>
      <c r="N111" t="s">
        <v>52</v>
      </c>
      <c r="O111">
        <v>362.75569380896764</v>
      </c>
      <c r="P111">
        <v>366.89170759283309</v>
      </c>
      <c r="Q111">
        <v>14.843589236248475</v>
      </c>
      <c r="R111">
        <v>10.908198277120729</v>
      </c>
      <c r="S111">
        <v>5.8481407995296699</v>
      </c>
      <c r="T111">
        <v>113.0548784616427</v>
      </c>
      <c r="U111">
        <v>61.554658361210564</v>
      </c>
      <c r="V111">
        <v>79.676265121826788</v>
      </c>
      <c r="W111">
        <v>77.580508045744466</v>
      </c>
      <c r="X111">
        <v>62.004218429505634</v>
      </c>
      <c r="Y111">
        <v>86.595598219078568</v>
      </c>
      <c r="Z111">
        <v>46.068406322028274</v>
      </c>
      <c r="AA111">
        <v>48.997528184723024</v>
      </c>
      <c r="AB111">
        <v>29.36023652046687</v>
      </c>
      <c r="AC111">
        <v>35.382303577048184</v>
      </c>
      <c r="AD111">
        <v>30.822010528954564</v>
      </c>
      <c r="AE111">
        <v>41.203402065091097</v>
      </c>
    </row>
    <row r="112" spans="1:31" x14ac:dyDescent="0.3">
      <c r="A112" t="s">
        <v>120</v>
      </c>
      <c r="B112">
        <v>130.94244604316555</v>
      </c>
      <c r="C112">
        <v>2667.0265069389206</v>
      </c>
      <c r="D112">
        <v>1329.6492774057117</v>
      </c>
      <c r="E112">
        <v>882.17048621521201</v>
      </c>
      <c r="F112">
        <v>542.95480388629142</v>
      </c>
      <c r="G112">
        <v>38.00050460342576</v>
      </c>
      <c r="H112">
        <v>556.86269142907713</v>
      </c>
      <c r="I112">
        <v>256.7985795384181</v>
      </c>
      <c r="J112">
        <v>1216.7632381574313</v>
      </c>
      <c r="K112">
        <v>760.97993585858842</v>
      </c>
      <c r="L112">
        <v>689.28333292290097</v>
      </c>
      <c r="M112">
        <v>1329.6492774057117</v>
      </c>
      <c r="N112" t="s">
        <v>52</v>
      </c>
      <c r="O112">
        <v>882.17048621521201</v>
      </c>
      <c r="P112">
        <v>542.95480388629142</v>
      </c>
      <c r="Q112">
        <v>20.986999349967352</v>
      </c>
      <c r="R112">
        <v>11.905764912623244</v>
      </c>
      <c r="S112">
        <v>5.1077403408351625</v>
      </c>
      <c r="T112">
        <v>93.475218945780099</v>
      </c>
      <c r="U112">
        <v>92.56966546112109</v>
      </c>
      <c r="V112">
        <v>96.664467980852592</v>
      </c>
      <c r="W112">
        <v>112.04127377552676</v>
      </c>
      <c r="X112">
        <v>59.743015229538493</v>
      </c>
      <c r="Y112">
        <v>102.36905003625816</v>
      </c>
      <c r="Z112">
        <v>57.193148212159777</v>
      </c>
      <c r="AA112">
        <v>58.257986508845597</v>
      </c>
      <c r="AB112">
        <v>29.097449588983366</v>
      </c>
      <c r="AC112">
        <v>41.543935189614956</v>
      </c>
      <c r="AD112">
        <v>29.907686159584415</v>
      </c>
      <c r="AE112">
        <v>40.798373879229985</v>
      </c>
    </row>
    <row r="113" spans="1:31" x14ac:dyDescent="0.3">
      <c r="A113" t="s">
        <v>121</v>
      </c>
      <c r="B113">
        <v>168.33464610811862</v>
      </c>
      <c r="C113">
        <v>3116.435736873882</v>
      </c>
      <c r="D113">
        <v>1813.0897664427123</v>
      </c>
      <c r="E113">
        <v>867.89801161727473</v>
      </c>
      <c r="F113">
        <v>799.551783992286</v>
      </c>
      <c r="G113">
        <v>26.002474616550167</v>
      </c>
      <c r="H113">
        <v>548.34287920236204</v>
      </c>
      <c r="I113">
        <v>255.65187913076625</v>
      </c>
      <c r="J113">
        <v>931.0772258894259</v>
      </c>
      <c r="K113">
        <v>838.16855492599893</v>
      </c>
      <c r="L113">
        <v>1347.1899560584568</v>
      </c>
      <c r="M113">
        <v>1813.0897664427123</v>
      </c>
      <c r="N113" t="s">
        <v>52</v>
      </c>
      <c r="O113">
        <v>867.89801161727473</v>
      </c>
      <c r="P113">
        <v>799.551783992286</v>
      </c>
      <c r="Q113">
        <v>12.55568936336422</v>
      </c>
      <c r="R113">
        <v>6.8144572939564698</v>
      </c>
      <c r="S113">
        <v>6.6323279592294782</v>
      </c>
      <c r="T113">
        <v>101.43867888986564</v>
      </c>
      <c r="U113">
        <v>79.173173767894653</v>
      </c>
      <c r="V113">
        <v>89.482184493120201</v>
      </c>
      <c r="W113">
        <v>73.333855744784827</v>
      </c>
      <c r="X113">
        <v>89.174855750277899</v>
      </c>
      <c r="Y113">
        <v>115.74013055641886</v>
      </c>
      <c r="Z113">
        <v>65.428215130779591</v>
      </c>
      <c r="AA113">
        <v>61.880476777640844</v>
      </c>
      <c r="AB113">
        <v>30.669141914191531</v>
      </c>
      <c r="AC113">
        <v>35.638548524269979</v>
      </c>
      <c r="AD113">
        <v>29.310354440462003</v>
      </c>
      <c r="AE113">
        <v>32.725142343422306</v>
      </c>
    </row>
    <row r="114" spans="1:31" x14ac:dyDescent="0.3">
      <c r="A114" t="s">
        <v>122</v>
      </c>
      <c r="B114">
        <v>213.76414259893147</v>
      </c>
      <c r="C114">
        <v>3354.0726700052219</v>
      </c>
      <c r="D114">
        <v>2146.8528563185205</v>
      </c>
      <c r="E114">
        <v>958.56666274697784</v>
      </c>
      <c r="F114">
        <v>980.10515645947123</v>
      </c>
      <c r="G114">
        <v>32.271469830307389</v>
      </c>
      <c r="H114">
        <v>544.87894311408274</v>
      </c>
      <c r="I114">
        <v>273.03348461256832</v>
      </c>
      <c r="J114">
        <v>1189.8933547995894</v>
      </c>
      <c r="K114">
        <v>905.9936506340614</v>
      </c>
      <c r="L114">
        <v>1258.1856645715711</v>
      </c>
      <c r="M114">
        <v>2146.8528563185205</v>
      </c>
      <c r="N114" t="s">
        <v>52</v>
      </c>
      <c r="O114">
        <v>958.56666274697784</v>
      </c>
      <c r="P114">
        <v>980.10515645947123</v>
      </c>
      <c r="Q114">
        <v>9.8409838013386324</v>
      </c>
      <c r="R114">
        <v>11.415982440451996</v>
      </c>
      <c r="S114">
        <v>11.01450358851676</v>
      </c>
      <c r="T114">
        <v>99.651164111300062</v>
      </c>
      <c r="U114">
        <v>81.255465462383071</v>
      </c>
      <c r="V114">
        <v>124.26591954197986</v>
      </c>
      <c r="W114">
        <v>79.13490149519501</v>
      </c>
      <c r="X114">
        <v>69.752068473609015</v>
      </c>
      <c r="Y114">
        <v>90.819424029615803</v>
      </c>
      <c r="Z114">
        <v>74.481454700127514</v>
      </c>
      <c r="AA114">
        <v>65.057351821822323</v>
      </c>
      <c r="AB114">
        <v>29.893996539024737</v>
      </c>
      <c r="AC114">
        <v>37.23520715029732</v>
      </c>
      <c r="AD114">
        <v>30.937195597772011</v>
      </c>
      <c r="AE114">
        <v>35.4282788035244</v>
      </c>
    </row>
    <row r="115" spans="1:31" x14ac:dyDescent="0.3">
      <c r="A115" t="s">
        <v>123</v>
      </c>
      <c r="B115">
        <v>227.83867101671211</v>
      </c>
      <c r="C115">
        <v>3501.0402549305609</v>
      </c>
      <c r="D115">
        <v>2325.8822491731007</v>
      </c>
      <c r="E115">
        <v>1532.2531715632808</v>
      </c>
      <c r="F115">
        <v>1138.4338009943467</v>
      </c>
      <c r="G115">
        <v>41.956425933411666</v>
      </c>
      <c r="H115">
        <v>529.26709701691334</v>
      </c>
      <c r="I115">
        <v>300.65451335978912</v>
      </c>
      <c r="J115">
        <v>1514.0997075326227</v>
      </c>
      <c r="K115">
        <v>967.95270886677486</v>
      </c>
      <c r="L115">
        <v>1018.987838531163</v>
      </c>
      <c r="M115">
        <v>2325.8822491731007</v>
      </c>
      <c r="N115" t="s">
        <v>52</v>
      </c>
      <c r="O115">
        <v>1532.2531715632808</v>
      </c>
      <c r="P115">
        <v>1138.4338009943467</v>
      </c>
      <c r="Q115">
        <v>21.466507177033474</v>
      </c>
      <c r="R115">
        <v>12.876742966975364</v>
      </c>
      <c r="S115">
        <v>7.6131757894028347</v>
      </c>
      <c r="T115">
        <v>73.604904065941369</v>
      </c>
      <c r="U115">
        <v>100.26959783486069</v>
      </c>
      <c r="V115">
        <v>81.417764153799411</v>
      </c>
      <c r="W115">
        <v>79.987853699719366</v>
      </c>
      <c r="X115">
        <v>79.562952621935267</v>
      </c>
      <c r="Y115">
        <v>114.42402464065722</v>
      </c>
      <c r="Z115">
        <v>87.901368786430183</v>
      </c>
      <c r="AA115">
        <v>72.846937583931677</v>
      </c>
      <c r="AB115">
        <v>30.525595555695052</v>
      </c>
      <c r="AC115">
        <v>40.224423502534378</v>
      </c>
      <c r="AD115">
        <v>30.922682519041476</v>
      </c>
      <c r="AE115">
        <v>38.233505412156376</v>
      </c>
    </row>
    <row r="116" spans="1:31" x14ac:dyDescent="0.3">
      <c r="A116" t="s">
        <v>124</v>
      </c>
      <c r="B116">
        <v>258.60649366180314</v>
      </c>
      <c r="C116">
        <v>4027.9725843700144</v>
      </c>
      <c r="D116">
        <v>2674.9283392071679</v>
      </c>
      <c r="E116">
        <v>1263.0049028348121</v>
      </c>
      <c r="F116">
        <v>1271.8395554020519</v>
      </c>
      <c r="G116">
        <v>28.048529057355861</v>
      </c>
      <c r="H116">
        <v>554.80315735169393</v>
      </c>
      <c r="I116">
        <v>300.36501800933371</v>
      </c>
      <c r="J116">
        <v>1768.5607627675229</v>
      </c>
      <c r="K116">
        <v>1137.4216787193513</v>
      </c>
      <c r="L116">
        <v>1121.9901428831397</v>
      </c>
      <c r="M116">
        <v>2674.9283392071679</v>
      </c>
      <c r="N116" t="s">
        <v>52</v>
      </c>
      <c r="O116">
        <v>1263.0049028348121</v>
      </c>
      <c r="P116">
        <v>1271.8395554020519</v>
      </c>
      <c r="Q116">
        <v>12.155653579071423</v>
      </c>
      <c r="R116">
        <v>9.9959881519253102</v>
      </c>
      <c r="S116">
        <v>5.8968873263591268</v>
      </c>
      <c r="T116">
        <v>93.825890933200753</v>
      </c>
      <c r="U116">
        <v>75.365336358323887</v>
      </c>
      <c r="V116">
        <v>103.89431735448532</v>
      </c>
      <c r="W116">
        <v>81.95305816135091</v>
      </c>
      <c r="X116">
        <v>92.322626391548255</v>
      </c>
      <c r="Y116">
        <v>107.44192815278484</v>
      </c>
      <c r="Z116">
        <v>94.824350296649072</v>
      </c>
      <c r="AA116">
        <v>71.15879348384577</v>
      </c>
      <c r="AB116">
        <v>29.437288916180403</v>
      </c>
      <c r="AC116">
        <v>38.49668874172194</v>
      </c>
      <c r="AD116">
        <v>29.839135456195361</v>
      </c>
      <c r="AE116">
        <v>36.608761114741107</v>
      </c>
    </row>
    <row r="117" spans="1:31" x14ac:dyDescent="0.3">
      <c r="A117" t="s">
        <v>125</v>
      </c>
      <c r="B117">
        <v>283.84583367788508</v>
      </c>
      <c r="C117">
        <v>4183.8979538356489</v>
      </c>
      <c r="D117">
        <v>3030.1947662489329</v>
      </c>
      <c r="E117">
        <v>1384.799280091335</v>
      </c>
      <c r="F117">
        <v>1327.8506382418709</v>
      </c>
      <c r="G117">
        <v>42.315275650955684</v>
      </c>
      <c r="H117">
        <v>524.20302423582064</v>
      </c>
      <c r="I117">
        <v>312.66093768949219</v>
      </c>
      <c r="J117">
        <v>1461.2376445420607</v>
      </c>
      <c r="K117">
        <v>1606.8119238934685</v>
      </c>
      <c r="L117">
        <v>1115.8483854001192</v>
      </c>
      <c r="M117">
        <v>3030.1947662489329</v>
      </c>
      <c r="N117" t="s">
        <v>52</v>
      </c>
      <c r="O117">
        <v>1384.799280091335</v>
      </c>
      <c r="P117">
        <v>1327.8506382418709</v>
      </c>
      <c r="Q117">
        <v>22.712747728815781</v>
      </c>
      <c r="R117">
        <v>11.084431047475544</v>
      </c>
      <c r="S117">
        <v>8.5180968746643568</v>
      </c>
      <c r="T117">
        <v>83.683797537194806</v>
      </c>
      <c r="U117">
        <v>81.492384201422169</v>
      </c>
      <c r="V117">
        <v>99.89077047137333</v>
      </c>
      <c r="W117">
        <v>78.165041023581395</v>
      </c>
      <c r="X117">
        <v>76.983613909203726</v>
      </c>
      <c r="Y117">
        <v>103.98741709304521</v>
      </c>
      <c r="Z117">
        <v>98.662646806072587</v>
      </c>
      <c r="AA117">
        <v>78.237550161173758</v>
      </c>
      <c r="AB117">
        <v>29.929954347029284</v>
      </c>
      <c r="AC117">
        <v>38.806463260516253</v>
      </c>
      <c r="AD117">
        <v>30.406031160088993</v>
      </c>
      <c r="AE117">
        <v>36.618291954611273</v>
      </c>
    </row>
    <row r="118" spans="1:31" x14ac:dyDescent="0.3">
      <c r="A118" t="s">
        <v>126</v>
      </c>
      <c r="B118">
        <v>311.77674642878719</v>
      </c>
      <c r="C118">
        <v>4240.6735129607277</v>
      </c>
      <c r="D118">
        <v>3279.7486456192833</v>
      </c>
      <c r="E118">
        <v>1554.3739135976525</v>
      </c>
      <c r="F118">
        <v>1545.3684463107325</v>
      </c>
      <c r="G118">
        <v>46.216242789589877</v>
      </c>
      <c r="H118">
        <v>580.76771938716718</v>
      </c>
      <c r="I118">
        <v>331.04982023671323</v>
      </c>
      <c r="J118">
        <v>1438.1160802228276</v>
      </c>
      <c r="K118">
        <v>1605.7544310130979</v>
      </c>
      <c r="L118">
        <v>1196.8030017248016</v>
      </c>
      <c r="M118">
        <v>3279.7486456192833</v>
      </c>
      <c r="N118" t="s">
        <v>52</v>
      </c>
      <c r="O118">
        <v>1554.3739135976525</v>
      </c>
      <c r="P118">
        <v>1545.3684463107325</v>
      </c>
      <c r="Q118">
        <v>26.146541937241796</v>
      </c>
      <c r="R118">
        <v>12.706284252831562</v>
      </c>
      <c r="S118">
        <v>7.3634165995165199</v>
      </c>
      <c r="T118">
        <v>117.70755461963687</v>
      </c>
      <c r="U118">
        <v>81.219833006387901</v>
      </c>
      <c r="V118">
        <v>109.85639409155901</v>
      </c>
      <c r="W118">
        <v>96.044339451208145</v>
      </c>
      <c r="X118">
        <v>79.665292662819581</v>
      </c>
      <c r="Y118">
        <v>96.274305555555699</v>
      </c>
      <c r="Z118">
        <v>108.88529319535907</v>
      </c>
      <c r="AA118">
        <v>89.659130773728535</v>
      </c>
      <c r="AB118">
        <v>28.831299392505702</v>
      </c>
      <c r="AC118">
        <v>38.749557673648681</v>
      </c>
      <c r="AD118">
        <v>29.96256648488519</v>
      </c>
      <c r="AE118">
        <v>34.961972716586068</v>
      </c>
    </row>
    <row r="119" spans="1:31" x14ac:dyDescent="0.3">
      <c r="A119" t="s">
        <v>127</v>
      </c>
      <c r="B119">
        <v>336.88880010653833</v>
      </c>
      <c r="C119">
        <v>4428.61076945677</v>
      </c>
      <c r="D119">
        <v>3703.2862019838171</v>
      </c>
      <c r="E119">
        <v>1637.0489418509562</v>
      </c>
      <c r="F119">
        <v>1635.375213562889</v>
      </c>
      <c r="G119">
        <v>27.639809870983306</v>
      </c>
      <c r="H119">
        <v>505.79347134835882</v>
      </c>
      <c r="I119">
        <v>331.30302168529136</v>
      </c>
      <c r="J119">
        <v>1899.42583717364</v>
      </c>
      <c r="K119">
        <v>1213.6498710856492</v>
      </c>
      <c r="L119">
        <v>1315.5350611974807</v>
      </c>
      <c r="M119">
        <v>3703.2862019838171</v>
      </c>
      <c r="N119" t="s">
        <v>52</v>
      </c>
      <c r="O119">
        <v>1637.0489418509562</v>
      </c>
      <c r="P119">
        <v>1635.375213562889</v>
      </c>
      <c r="Q119">
        <v>15.609658897249695</v>
      </c>
      <c r="R119">
        <v>6.3352690172928252</v>
      </c>
      <c r="S119">
        <v>5.6948819564407902</v>
      </c>
      <c r="T119">
        <v>86.016642657921423</v>
      </c>
      <c r="U119">
        <v>79.493880534670041</v>
      </c>
      <c r="V119">
        <v>105.50781973454048</v>
      </c>
      <c r="W119">
        <v>65.428869793531504</v>
      </c>
      <c r="X119">
        <v>69.783884838287477</v>
      </c>
      <c r="Y119">
        <v>99.562373789407985</v>
      </c>
      <c r="Z119">
        <v>109.12813941568476</v>
      </c>
      <c r="AA119">
        <v>86.125427151289301</v>
      </c>
      <c r="AB119">
        <v>29.920711143695048</v>
      </c>
      <c r="AC119">
        <v>38.684025006650664</v>
      </c>
      <c r="AD119">
        <v>31.146077846296649</v>
      </c>
      <c r="AE119">
        <v>36.298641121674947</v>
      </c>
    </row>
    <row r="120" spans="1:31" x14ac:dyDescent="0.3">
      <c r="A120" t="s">
        <v>128</v>
      </c>
      <c r="B120">
        <v>346.99277794730949</v>
      </c>
      <c r="C120">
        <v>4390.8565754775855</v>
      </c>
      <c r="D120">
        <v>3680.9886944988561</v>
      </c>
      <c r="E120">
        <v>1764.5267963883982</v>
      </c>
      <c r="F120">
        <v>1656.9774038461528</v>
      </c>
      <c r="G120">
        <v>25.83554679995164</v>
      </c>
      <c r="H120">
        <v>545.4694559375946</v>
      </c>
      <c r="I120">
        <v>344.58603898832303</v>
      </c>
      <c r="J120">
        <v>1745.3644936569958</v>
      </c>
      <c r="K120">
        <v>1326.813980631458</v>
      </c>
      <c r="L120">
        <v>1318.6781011891319</v>
      </c>
      <c r="M120">
        <v>3680.9886944988561</v>
      </c>
      <c r="N120" t="s">
        <v>52</v>
      </c>
      <c r="O120">
        <v>1764.5267963883982</v>
      </c>
      <c r="P120">
        <v>1656.9774038461528</v>
      </c>
      <c r="Q120">
        <v>11.077908254360654</v>
      </c>
      <c r="R120">
        <v>7.1446286788429392</v>
      </c>
      <c r="S120">
        <v>7.6130098667480484</v>
      </c>
      <c r="T120">
        <v>96.485682780208464</v>
      </c>
      <c r="U120">
        <v>72.675719164586909</v>
      </c>
      <c r="V120">
        <v>114.9302147749183</v>
      </c>
      <c r="W120">
        <v>102.41799179276768</v>
      </c>
      <c r="X120">
        <v>80.564867632002191</v>
      </c>
      <c r="Y120">
        <v>78.394979793111034</v>
      </c>
      <c r="Z120">
        <v>120.0390460223893</v>
      </c>
      <c r="AA120">
        <v>93.389741607774084</v>
      </c>
      <c r="AB120">
        <v>27.403704107993953</v>
      </c>
      <c r="AC120">
        <v>37.339147156062339</v>
      </c>
      <c r="AD120">
        <v>27.973895035151827</v>
      </c>
      <c r="AE120">
        <v>38.440505058951516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0"/>
  <sheetViews>
    <sheetView topLeftCell="A43" workbookViewId="0">
      <selection activeCell="A2" sqref="A2:A61"/>
    </sheetView>
  </sheetViews>
  <sheetFormatPr defaultRowHeight="14.4" x14ac:dyDescent="0.3"/>
  <cols>
    <col min="1" max="1" width="44.33203125" customWidth="1"/>
    <col min="2" max="24" width="12.6640625" customWidth="1"/>
    <col min="25" max="25" width="12.109375" customWidth="1"/>
    <col min="26" max="29" width="10.33203125" customWidth="1"/>
    <col min="30" max="31" width="10.109375" customWidth="1"/>
  </cols>
  <sheetData>
    <row r="1" spans="1:31" x14ac:dyDescent="0.3">
      <c r="A1" s="13" t="s">
        <v>0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34</v>
      </c>
      <c r="O1" s="14" t="s">
        <v>35</v>
      </c>
      <c r="P1" s="14" t="s">
        <v>36</v>
      </c>
      <c r="Q1" s="14" t="s">
        <v>37</v>
      </c>
      <c r="R1" s="14" t="s">
        <v>38</v>
      </c>
      <c r="S1" s="14" t="s">
        <v>39</v>
      </c>
      <c r="T1" s="14" t="s">
        <v>40</v>
      </c>
      <c r="U1" s="14" t="s">
        <v>41</v>
      </c>
      <c r="V1" s="14" t="s">
        <v>42</v>
      </c>
      <c r="W1" s="14" t="s">
        <v>43</v>
      </c>
      <c r="X1" s="14" t="s">
        <v>44</v>
      </c>
      <c r="Y1" s="14" t="s">
        <v>45</v>
      </c>
      <c r="Z1" s="14" t="s">
        <v>46</v>
      </c>
      <c r="AA1" s="14" t="s">
        <v>47</v>
      </c>
      <c r="AB1" s="14" t="s">
        <v>48</v>
      </c>
      <c r="AC1" s="14" t="s">
        <v>49</v>
      </c>
      <c r="AD1" s="14" t="s">
        <v>50</v>
      </c>
      <c r="AE1" s="15" t="s">
        <v>51</v>
      </c>
    </row>
    <row r="2" spans="1:31" x14ac:dyDescent="0.3">
      <c r="A2" t="s">
        <v>201</v>
      </c>
      <c r="B2" s="10">
        <v>259.22355199999998</v>
      </c>
      <c r="C2" s="11">
        <v>9503.5269119999994</v>
      </c>
      <c r="D2" s="11">
        <v>1776.0378880000001</v>
      </c>
      <c r="E2" s="11">
        <v>1753.5344640000001</v>
      </c>
      <c r="F2" s="11">
        <v>1667.432448</v>
      </c>
      <c r="G2" s="11">
        <v>1512.26368</v>
      </c>
      <c r="H2" s="11">
        <v>1301.5039999999999</v>
      </c>
      <c r="I2" s="11">
        <v>68.653056000000007</v>
      </c>
      <c r="J2" s="11" t="s">
        <v>52</v>
      </c>
      <c r="K2" s="11" t="s">
        <v>52</v>
      </c>
      <c r="L2" s="11" t="s">
        <v>52</v>
      </c>
      <c r="M2" s="11" t="s">
        <v>52</v>
      </c>
      <c r="N2" s="11" t="s">
        <v>52</v>
      </c>
      <c r="O2" s="11" t="s">
        <v>52</v>
      </c>
      <c r="P2" s="11" t="s">
        <v>52</v>
      </c>
      <c r="Q2" s="11" t="s">
        <v>52</v>
      </c>
      <c r="R2" s="11" t="s">
        <v>52</v>
      </c>
      <c r="S2" s="11" t="s">
        <v>52</v>
      </c>
      <c r="T2" s="11" t="s">
        <v>52</v>
      </c>
      <c r="U2" s="11" t="s">
        <v>52</v>
      </c>
      <c r="V2" s="11" t="s">
        <v>52</v>
      </c>
      <c r="W2" s="11" t="s">
        <v>52</v>
      </c>
      <c r="X2" s="11" t="s">
        <v>52</v>
      </c>
      <c r="Y2" s="11" t="s">
        <v>52</v>
      </c>
      <c r="Z2" s="11" t="s">
        <v>52</v>
      </c>
      <c r="AA2" s="11" t="s">
        <v>52</v>
      </c>
      <c r="AB2" s="11" t="s">
        <v>52</v>
      </c>
      <c r="AC2" s="11" t="s">
        <v>52</v>
      </c>
      <c r="AD2" s="11" t="s">
        <v>52</v>
      </c>
      <c r="AE2" s="12" t="s">
        <v>52</v>
      </c>
    </row>
    <row r="3" spans="1:31" x14ac:dyDescent="0.3">
      <c r="A3" s="5" t="s">
        <v>202</v>
      </c>
      <c r="B3" s="8">
        <v>268.03814399999999</v>
      </c>
      <c r="C3" s="8">
        <v>9079.0297599999994</v>
      </c>
      <c r="D3" s="8">
        <v>1833.377792</v>
      </c>
      <c r="E3" s="8">
        <v>1858.8672000000001</v>
      </c>
      <c r="F3" s="8">
        <v>1745.5185919999999</v>
      </c>
      <c r="G3" s="8">
        <v>1499.8118400000001</v>
      </c>
      <c r="H3" s="8">
        <v>1149.05088</v>
      </c>
      <c r="I3" s="8">
        <v>68.501504000000011</v>
      </c>
      <c r="J3" s="8" t="s">
        <v>52</v>
      </c>
      <c r="K3" s="8" t="s">
        <v>52</v>
      </c>
      <c r="L3" s="8" t="s">
        <v>52</v>
      </c>
      <c r="M3" s="8" t="s">
        <v>52</v>
      </c>
      <c r="N3" s="8" t="s">
        <v>52</v>
      </c>
      <c r="O3" s="8" t="s">
        <v>52</v>
      </c>
      <c r="P3" s="8" t="s">
        <v>52</v>
      </c>
      <c r="Q3" s="8" t="s">
        <v>52</v>
      </c>
      <c r="R3" s="8" t="s">
        <v>52</v>
      </c>
      <c r="S3" s="8" t="s">
        <v>52</v>
      </c>
      <c r="T3" s="8" t="s">
        <v>52</v>
      </c>
      <c r="U3" s="8" t="s">
        <v>52</v>
      </c>
      <c r="V3" s="8" t="s">
        <v>52</v>
      </c>
      <c r="W3" s="8" t="s">
        <v>52</v>
      </c>
      <c r="X3" s="8" t="s">
        <v>52</v>
      </c>
      <c r="Y3" s="8" t="s">
        <v>52</v>
      </c>
      <c r="Z3" s="8" t="s">
        <v>52</v>
      </c>
      <c r="AA3" s="8" t="s">
        <v>52</v>
      </c>
      <c r="AB3" s="8" t="s">
        <v>52</v>
      </c>
      <c r="AC3" s="8" t="s">
        <v>52</v>
      </c>
      <c r="AD3" s="8" t="s">
        <v>52</v>
      </c>
      <c r="AE3" s="8" t="s">
        <v>52</v>
      </c>
    </row>
    <row r="4" spans="1:31" x14ac:dyDescent="0.3">
      <c r="A4" s="5" t="s">
        <v>203</v>
      </c>
      <c r="B4" s="8">
        <v>698.540032</v>
      </c>
      <c r="C4" s="8">
        <v>11166.408703999999</v>
      </c>
      <c r="D4" s="8">
        <v>1806.692352</v>
      </c>
      <c r="E4" s="8">
        <v>1811.9475200000002</v>
      </c>
      <c r="F4" s="8">
        <v>1745.260544</v>
      </c>
      <c r="G4" s="8">
        <v>1496.3875839999998</v>
      </c>
      <c r="H4" s="8">
        <v>1138.3480320000001</v>
      </c>
      <c r="I4" s="8">
        <v>68.784127999999995</v>
      </c>
      <c r="J4" s="8" t="s">
        <v>52</v>
      </c>
      <c r="K4" s="8" t="s">
        <v>52</v>
      </c>
      <c r="L4" s="8" t="s">
        <v>52</v>
      </c>
      <c r="M4" s="8" t="s">
        <v>52</v>
      </c>
      <c r="N4" s="8" t="s">
        <v>52</v>
      </c>
      <c r="O4" s="8" t="s">
        <v>52</v>
      </c>
      <c r="P4" s="8" t="s">
        <v>52</v>
      </c>
      <c r="Q4" s="8" t="s">
        <v>52</v>
      </c>
      <c r="R4" s="8" t="s">
        <v>52</v>
      </c>
      <c r="S4" s="8" t="s">
        <v>52</v>
      </c>
      <c r="T4" s="8" t="s">
        <v>52</v>
      </c>
      <c r="U4" s="8" t="s">
        <v>52</v>
      </c>
      <c r="V4" s="8" t="s">
        <v>52</v>
      </c>
      <c r="W4" s="8" t="s">
        <v>52</v>
      </c>
      <c r="X4" s="8" t="s">
        <v>52</v>
      </c>
      <c r="Y4" s="8" t="s">
        <v>52</v>
      </c>
      <c r="Z4" s="8" t="s">
        <v>52</v>
      </c>
      <c r="AA4" s="8" t="s">
        <v>52</v>
      </c>
      <c r="AB4" s="8" t="s">
        <v>52</v>
      </c>
      <c r="AC4" s="8" t="s">
        <v>52</v>
      </c>
      <c r="AD4" s="8" t="s">
        <v>52</v>
      </c>
      <c r="AE4" s="8" t="s">
        <v>52</v>
      </c>
    </row>
    <row r="5" spans="1:31" x14ac:dyDescent="0.3">
      <c r="A5" s="5" t="s">
        <v>204</v>
      </c>
      <c r="B5" s="8">
        <v>509.25977599999999</v>
      </c>
      <c r="C5" s="8">
        <v>9852.375039999999</v>
      </c>
      <c r="D5" s="8">
        <v>1810.5917440000001</v>
      </c>
      <c r="E5" s="8">
        <v>1818.124288</v>
      </c>
      <c r="F5" s="8">
        <v>1777.11104</v>
      </c>
      <c r="G5" s="8">
        <v>1546.6250239999999</v>
      </c>
      <c r="H5" s="8">
        <v>1150.742528</v>
      </c>
      <c r="I5" s="8">
        <v>68.780032000000006</v>
      </c>
      <c r="J5" s="8" t="s">
        <v>52</v>
      </c>
      <c r="K5" s="8" t="s">
        <v>52</v>
      </c>
      <c r="L5" s="8" t="s">
        <v>52</v>
      </c>
      <c r="M5" s="8" t="s">
        <v>52</v>
      </c>
      <c r="N5" s="8" t="s">
        <v>52</v>
      </c>
      <c r="O5" s="8" t="s">
        <v>52</v>
      </c>
      <c r="P5" s="8" t="s">
        <v>52</v>
      </c>
      <c r="Q5" s="8" t="s">
        <v>52</v>
      </c>
      <c r="R5" s="8" t="s">
        <v>52</v>
      </c>
      <c r="S5" s="8" t="s">
        <v>52</v>
      </c>
      <c r="T5" s="8" t="s">
        <v>52</v>
      </c>
      <c r="U5" s="8" t="s">
        <v>52</v>
      </c>
      <c r="V5" s="8" t="s">
        <v>52</v>
      </c>
      <c r="W5" s="8" t="s">
        <v>52</v>
      </c>
      <c r="X5" s="8" t="s">
        <v>52</v>
      </c>
      <c r="Y5" s="8" t="s">
        <v>52</v>
      </c>
      <c r="Z5" s="8" t="s">
        <v>52</v>
      </c>
      <c r="AA5" s="8" t="s">
        <v>52</v>
      </c>
      <c r="AB5" s="8" t="s">
        <v>52</v>
      </c>
      <c r="AC5" s="8" t="s">
        <v>52</v>
      </c>
      <c r="AD5" s="8" t="s">
        <v>52</v>
      </c>
      <c r="AE5" s="8" t="s">
        <v>52</v>
      </c>
    </row>
    <row r="6" spans="1:31" x14ac:dyDescent="0.3">
      <c r="A6" s="5" t="s">
        <v>205</v>
      </c>
      <c r="B6" s="8">
        <v>656.01945599999999</v>
      </c>
      <c r="C6" s="8">
        <v>23214.182399999998</v>
      </c>
      <c r="D6" s="8">
        <v>15780.032512</v>
      </c>
      <c r="E6" s="8">
        <v>8060.0924160000004</v>
      </c>
      <c r="F6" s="8">
        <v>8012.7098880000003</v>
      </c>
      <c r="G6" s="8">
        <v>1759.7726719999998</v>
      </c>
      <c r="H6" s="8">
        <v>1277.874176</v>
      </c>
      <c r="I6" s="8">
        <v>66.400255999999999</v>
      </c>
      <c r="J6" s="8" t="s">
        <v>52</v>
      </c>
      <c r="K6" s="8" t="s">
        <v>52</v>
      </c>
      <c r="L6" s="8" t="s">
        <v>52</v>
      </c>
      <c r="M6" s="8" t="s">
        <v>52</v>
      </c>
      <c r="N6" s="8" t="s">
        <v>52</v>
      </c>
      <c r="O6" s="8" t="s">
        <v>52</v>
      </c>
      <c r="P6" s="8" t="s">
        <v>52</v>
      </c>
      <c r="Q6" s="8" t="s">
        <v>52</v>
      </c>
      <c r="R6" s="8" t="s">
        <v>52</v>
      </c>
      <c r="S6" s="8" t="s">
        <v>52</v>
      </c>
      <c r="T6" s="8" t="s">
        <v>52</v>
      </c>
      <c r="U6" s="8" t="s">
        <v>52</v>
      </c>
      <c r="V6" s="8" t="s">
        <v>52</v>
      </c>
      <c r="W6" s="8" t="s">
        <v>52</v>
      </c>
      <c r="X6" s="8" t="s">
        <v>52</v>
      </c>
      <c r="Y6" s="8" t="s">
        <v>52</v>
      </c>
      <c r="Z6" s="8" t="s">
        <v>52</v>
      </c>
      <c r="AA6" s="8" t="s">
        <v>52</v>
      </c>
      <c r="AB6" s="8" t="s">
        <v>52</v>
      </c>
      <c r="AC6" s="8" t="s">
        <v>52</v>
      </c>
      <c r="AD6" s="8" t="s">
        <v>52</v>
      </c>
      <c r="AE6" s="8" t="s">
        <v>52</v>
      </c>
    </row>
    <row r="7" spans="1:31" x14ac:dyDescent="0.3">
      <c r="A7" s="5" t="s">
        <v>154</v>
      </c>
      <c r="B7" s="8">
        <v>312.57395200000002</v>
      </c>
      <c r="C7" s="8">
        <v>15002.673151999999</v>
      </c>
      <c r="D7" s="8">
        <v>1443.6392960000001</v>
      </c>
      <c r="E7" s="8">
        <v>1491.759104</v>
      </c>
      <c r="F7" s="8">
        <v>1398.329344</v>
      </c>
      <c r="G7" s="8">
        <v>2817.2943359999999</v>
      </c>
      <c r="H7" s="8">
        <v>1238.67136</v>
      </c>
      <c r="I7" s="8">
        <v>67.66592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>
        <v>922.16934400000002</v>
      </c>
      <c r="R7" s="8">
        <v>904.527872</v>
      </c>
      <c r="S7" s="8">
        <v>990.59712000000002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</row>
    <row r="8" spans="1:31" x14ac:dyDescent="0.3">
      <c r="A8" s="5" t="s">
        <v>155</v>
      </c>
      <c r="B8" s="8">
        <v>751.07123200000001</v>
      </c>
      <c r="C8" s="8">
        <v>22594.838528</v>
      </c>
      <c r="D8" s="8">
        <v>8008.003584</v>
      </c>
      <c r="E8" s="8">
        <v>8069.4599680000001</v>
      </c>
      <c r="F8" s="8">
        <v>8050.5077760000004</v>
      </c>
      <c r="G8" s="8">
        <v>7744.6430720000008</v>
      </c>
      <c r="H8" s="8">
        <v>3135.619072</v>
      </c>
      <c r="I8" s="8">
        <v>69.660672000000005</v>
      </c>
      <c r="J8" s="8" t="s">
        <v>52</v>
      </c>
      <c r="K8" s="8" t="s">
        <v>52</v>
      </c>
      <c r="L8" s="8" t="s">
        <v>52</v>
      </c>
      <c r="M8" s="8" t="s">
        <v>52</v>
      </c>
      <c r="N8" s="8" t="s">
        <v>52</v>
      </c>
      <c r="O8" s="8" t="s">
        <v>52</v>
      </c>
      <c r="P8" s="8" t="s">
        <v>52</v>
      </c>
      <c r="Q8" s="8">
        <v>4985.4832640000004</v>
      </c>
      <c r="R8" s="8">
        <v>1373.6468480000001</v>
      </c>
      <c r="S8" s="8">
        <v>1385.51296</v>
      </c>
      <c r="T8" s="8" t="s">
        <v>52</v>
      </c>
      <c r="U8" s="8" t="s">
        <v>52</v>
      </c>
      <c r="V8" s="8" t="s">
        <v>52</v>
      </c>
      <c r="W8" s="8" t="s">
        <v>52</v>
      </c>
      <c r="X8" s="8" t="s">
        <v>52</v>
      </c>
      <c r="Y8" s="8" t="s">
        <v>52</v>
      </c>
      <c r="Z8" s="8" t="s">
        <v>52</v>
      </c>
      <c r="AA8" s="8" t="s">
        <v>52</v>
      </c>
      <c r="AB8" s="8" t="s">
        <v>52</v>
      </c>
      <c r="AC8" s="8" t="s">
        <v>52</v>
      </c>
      <c r="AD8" s="8" t="s">
        <v>52</v>
      </c>
      <c r="AE8" s="8" t="s">
        <v>52</v>
      </c>
    </row>
    <row r="9" spans="1:31" x14ac:dyDescent="0.3">
      <c r="A9" s="5" t="s">
        <v>156</v>
      </c>
      <c r="B9" s="8">
        <v>795.93881599999997</v>
      </c>
      <c r="C9" s="8">
        <v>23985.524735999999</v>
      </c>
      <c r="D9" s="8">
        <v>9350.4061440000005</v>
      </c>
      <c r="E9" s="8">
        <v>8094.5315840000003</v>
      </c>
      <c r="F9" s="8">
        <v>8041.0542079999996</v>
      </c>
      <c r="G9" s="8">
        <v>8396.6402560000006</v>
      </c>
      <c r="H9" s="8">
        <v>4210.0940799999998</v>
      </c>
      <c r="I9" s="8">
        <v>69.541888</v>
      </c>
      <c r="J9" s="8" t="s">
        <v>52</v>
      </c>
      <c r="K9" s="8" t="s">
        <v>52</v>
      </c>
      <c r="L9" s="8" t="s">
        <v>52</v>
      </c>
      <c r="M9" s="8" t="s">
        <v>52</v>
      </c>
      <c r="N9" s="8" t="s">
        <v>52</v>
      </c>
      <c r="O9" s="8" t="s">
        <v>52</v>
      </c>
      <c r="P9" s="8" t="s">
        <v>52</v>
      </c>
      <c r="Q9" s="8">
        <v>5015.0809600000002</v>
      </c>
      <c r="R9" s="8">
        <v>1614.3237119999999</v>
      </c>
      <c r="S9" s="8">
        <v>1767.235584</v>
      </c>
      <c r="T9" s="8" t="s">
        <v>52</v>
      </c>
      <c r="U9" s="8" t="s">
        <v>52</v>
      </c>
      <c r="V9" s="8" t="s">
        <v>52</v>
      </c>
      <c r="W9" s="8" t="s">
        <v>52</v>
      </c>
      <c r="X9" s="8" t="s">
        <v>52</v>
      </c>
      <c r="Y9" s="8" t="s">
        <v>52</v>
      </c>
      <c r="Z9" s="8" t="s">
        <v>52</v>
      </c>
      <c r="AA9" s="8" t="s">
        <v>52</v>
      </c>
      <c r="AB9" s="8" t="s">
        <v>52</v>
      </c>
      <c r="AC9" s="8" t="s">
        <v>52</v>
      </c>
      <c r="AD9" s="8" t="s">
        <v>52</v>
      </c>
      <c r="AE9" s="8" t="s">
        <v>52</v>
      </c>
    </row>
    <row r="10" spans="1:31" x14ac:dyDescent="0.3">
      <c r="A10" s="5" t="s">
        <v>157</v>
      </c>
      <c r="B10" s="8">
        <v>908.22246399999995</v>
      </c>
      <c r="C10" s="8">
        <v>31934.431231999999</v>
      </c>
      <c r="D10" s="8">
        <v>12510.285824000001</v>
      </c>
      <c r="E10" s="8">
        <v>8071.8356479999993</v>
      </c>
      <c r="F10" s="8">
        <v>8063.0906880000002</v>
      </c>
      <c r="G10" s="8">
        <v>10784.600064</v>
      </c>
      <c r="H10" s="8">
        <v>4425.6501759999992</v>
      </c>
      <c r="I10" s="8">
        <v>69.640191999999999</v>
      </c>
      <c r="J10" s="8" t="s">
        <v>52</v>
      </c>
      <c r="K10" s="8" t="s">
        <v>52</v>
      </c>
      <c r="L10" s="8" t="s">
        <v>52</v>
      </c>
      <c r="M10" s="8" t="s">
        <v>52</v>
      </c>
      <c r="N10" s="8" t="s">
        <v>52</v>
      </c>
      <c r="O10" s="8" t="s">
        <v>52</v>
      </c>
      <c r="P10" s="8" t="s">
        <v>52</v>
      </c>
      <c r="Q10" s="8">
        <v>4996.6243839999997</v>
      </c>
      <c r="R10" s="8">
        <v>1597.313024</v>
      </c>
      <c r="S10" s="8">
        <v>4190.6626560000004</v>
      </c>
      <c r="T10" s="8" t="s">
        <v>52</v>
      </c>
      <c r="U10" s="8" t="s">
        <v>52</v>
      </c>
      <c r="V10" s="8" t="s">
        <v>52</v>
      </c>
      <c r="W10" s="8" t="s">
        <v>52</v>
      </c>
      <c r="X10" s="8" t="s">
        <v>52</v>
      </c>
      <c r="Y10" s="8" t="s">
        <v>52</v>
      </c>
      <c r="Z10" s="8" t="s">
        <v>52</v>
      </c>
      <c r="AA10" s="8" t="s">
        <v>52</v>
      </c>
      <c r="AB10" s="8" t="s">
        <v>52</v>
      </c>
      <c r="AC10" s="8" t="s">
        <v>52</v>
      </c>
      <c r="AD10" s="8" t="s">
        <v>52</v>
      </c>
      <c r="AE10" s="8" t="s">
        <v>52</v>
      </c>
    </row>
    <row r="11" spans="1:31" x14ac:dyDescent="0.3">
      <c r="A11" s="5" t="s">
        <v>158</v>
      </c>
      <c r="B11" s="8">
        <v>1043.505152</v>
      </c>
      <c r="C11" s="8">
        <v>32022.913024000001</v>
      </c>
      <c r="D11" s="8">
        <v>12163.629056</v>
      </c>
      <c r="E11" s="8">
        <v>8076.5952000000007</v>
      </c>
      <c r="F11" s="8">
        <v>8069.6811520000001</v>
      </c>
      <c r="G11" s="8">
        <v>8420.1021440000004</v>
      </c>
      <c r="H11" s="8">
        <v>5013.2623360000007</v>
      </c>
      <c r="I11" s="8">
        <v>68.698112000000009</v>
      </c>
      <c r="J11" s="8" t="s">
        <v>52</v>
      </c>
      <c r="K11" s="8" t="s">
        <v>52</v>
      </c>
      <c r="L11" s="8" t="s">
        <v>52</v>
      </c>
      <c r="M11" s="8" t="s">
        <v>52</v>
      </c>
      <c r="N11" s="8" t="s">
        <v>52</v>
      </c>
      <c r="O11" s="8" t="s">
        <v>52</v>
      </c>
      <c r="P11" s="8" t="s">
        <v>52</v>
      </c>
      <c r="Q11" s="8">
        <v>4999.1761919999999</v>
      </c>
      <c r="R11" s="8">
        <v>1582.6780160000001</v>
      </c>
      <c r="S11" s="8">
        <v>1838.247936</v>
      </c>
      <c r="T11" s="8" t="s">
        <v>52</v>
      </c>
      <c r="U11" s="8" t="s">
        <v>52</v>
      </c>
      <c r="V11" s="8" t="s">
        <v>52</v>
      </c>
      <c r="W11" s="8" t="s">
        <v>52</v>
      </c>
      <c r="X11" s="8" t="s">
        <v>52</v>
      </c>
      <c r="Y11" s="8" t="s">
        <v>52</v>
      </c>
      <c r="Z11" s="8" t="s">
        <v>52</v>
      </c>
      <c r="AA11" s="8" t="s">
        <v>52</v>
      </c>
      <c r="AB11" s="8" t="s">
        <v>52</v>
      </c>
      <c r="AC11" s="8" t="s">
        <v>52</v>
      </c>
      <c r="AD11" s="8" t="s">
        <v>52</v>
      </c>
      <c r="AE11" s="8" t="s">
        <v>52</v>
      </c>
    </row>
    <row r="12" spans="1:31" x14ac:dyDescent="0.3">
      <c r="A12" s="5" t="s">
        <v>159</v>
      </c>
      <c r="B12" s="8">
        <v>1238.290432</v>
      </c>
      <c r="C12" s="8">
        <v>32866.394111999987</v>
      </c>
      <c r="D12" s="8">
        <v>14116.438016</v>
      </c>
      <c r="E12" s="8">
        <v>8126.1527040000001</v>
      </c>
      <c r="F12" s="8">
        <v>8064.6144000000004</v>
      </c>
      <c r="G12" s="8">
        <v>8500.1216000000004</v>
      </c>
      <c r="H12" s="8">
        <v>5468.303359999999</v>
      </c>
      <c r="I12" s="8">
        <v>69.054463999999996</v>
      </c>
      <c r="J12" s="8" t="s">
        <v>52</v>
      </c>
      <c r="K12" s="8" t="s">
        <v>52</v>
      </c>
      <c r="L12" s="8" t="s">
        <v>52</v>
      </c>
      <c r="M12" s="8" t="s">
        <v>52</v>
      </c>
      <c r="N12" s="8" t="s">
        <v>52</v>
      </c>
      <c r="O12" s="8" t="s">
        <v>52</v>
      </c>
      <c r="P12" s="8" t="s">
        <v>52</v>
      </c>
      <c r="Q12" s="8">
        <v>5013.4507519999997</v>
      </c>
      <c r="R12" s="8">
        <v>1609.6747519999999</v>
      </c>
      <c r="S12" s="8">
        <v>1876.9960960000001</v>
      </c>
      <c r="T12" s="8" t="s">
        <v>52</v>
      </c>
      <c r="U12" s="8" t="s">
        <v>52</v>
      </c>
      <c r="V12" s="8" t="s">
        <v>52</v>
      </c>
      <c r="W12" s="8" t="s">
        <v>52</v>
      </c>
      <c r="X12" s="8" t="s">
        <v>52</v>
      </c>
      <c r="Y12" s="8" t="s">
        <v>52</v>
      </c>
      <c r="Z12" s="8" t="s">
        <v>52</v>
      </c>
      <c r="AA12" s="8" t="s">
        <v>52</v>
      </c>
      <c r="AB12" s="8" t="s">
        <v>52</v>
      </c>
      <c r="AC12" s="8" t="s">
        <v>52</v>
      </c>
      <c r="AD12" s="8" t="s">
        <v>52</v>
      </c>
      <c r="AE12" s="8" t="s">
        <v>52</v>
      </c>
    </row>
    <row r="13" spans="1:31" x14ac:dyDescent="0.3">
      <c r="A13" s="5" t="s">
        <v>160</v>
      </c>
      <c r="B13" s="8">
        <v>591.45420799999999</v>
      </c>
      <c r="C13" s="8">
        <v>32159.535103999999</v>
      </c>
      <c r="D13" s="8">
        <v>15116.730368</v>
      </c>
      <c r="E13" s="8">
        <v>8079.2084480000003</v>
      </c>
      <c r="F13" s="8">
        <v>8087.4659840000004</v>
      </c>
      <c r="G13" s="8">
        <v>8381.9233279999989</v>
      </c>
      <c r="H13" s="8">
        <v>6424.8872960000008</v>
      </c>
      <c r="I13" s="8">
        <v>69.255167999999998</v>
      </c>
      <c r="J13" s="8" t="s">
        <v>52</v>
      </c>
      <c r="K13" s="8" t="s">
        <v>52</v>
      </c>
      <c r="L13" s="8" t="s">
        <v>52</v>
      </c>
      <c r="M13" s="8" t="s">
        <v>52</v>
      </c>
      <c r="N13" s="8" t="s">
        <v>52</v>
      </c>
      <c r="O13" s="8" t="s">
        <v>52</v>
      </c>
      <c r="P13" s="8" t="s">
        <v>52</v>
      </c>
      <c r="Q13" s="8">
        <v>5000.224768</v>
      </c>
      <c r="R13" s="8">
        <v>1531.793408</v>
      </c>
      <c r="S13" s="8">
        <v>1849.905152</v>
      </c>
      <c r="T13" s="8" t="s">
        <v>52</v>
      </c>
      <c r="U13" s="8" t="s">
        <v>52</v>
      </c>
      <c r="V13" s="8" t="s">
        <v>52</v>
      </c>
      <c r="W13" s="8" t="s">
        <v>52</v>
      </c>
      <c r="X13" s="8" t="s">
        <v>52</v>
      </c>
      <c r="Y13" s="8" t="s">
        <v>52</v>
      </c>
      <c r="Z13" s="8" t="s">
        <v>52</v>
      </c>
      <c r="AA13" s="8" t="s">
        <v>52</v>
      </c>
      <c r="AB13" s="8" t="s">
        <v>52</v>
      </c>
      <c r="AC13" s="8" t="s">
        <v>52</v>
      </c>
      <c r="AD13" s="8" t="s">
        <v>52</v>
      </c>
      <c r="AE13" s="8" t="s">
        <v>52</v>
      </c>
    </row>
    <row r="14" spans="1:31" x14ac:dyDescent="0.3">
      <c r="A14" s="5" t="s">
        <v>161</v>
      </c>
      <c r="B14" s="8">
        <v>1025.368064</v>
      </c>
      <c r="C14" s="8">
        <v>23825.235968000001</v>
      </c>
      <c r="D14" s="8">
        <v>15233.474560000001</v>
      </c>
      <c r="E14" s="8">
        <v>8070.1276160000007</v>
      </c>
      <c r="F14" s="8">
        <v>8091.3448959999996</v>
      </c>
      <c r="G14" s="8">
        <v>8505.9461119999996</v>
      </c>
      <c r="H14" s="8">
        <v>6727.7783040000004</v>
      </c>
      <c r="I14" s="8">
        <v>69.582847999999998</v>
      </c>
      <c r="J14" s="8" t="s">
        <v>52</v>
      </c>
      <c r="K14" s="8" t="s">
        <v>52</v>
      </c>
      <c r="L14" s="8" t="s">
        <v>52</v>
      </c>
      <c r="M14" s="8" t="s">
        <v>52</v>
      </c>
      <c r="N14" s="8" t="s">
        <v>52</v>
      </c>
      <c r="O14" s="8" t="s">
        <v>52</v>
      </c>
      <c r="P14" s="8" t="s">
        <v>52</v>
      </c>
      <c r="Q14" s="8">
        <v>5010.0183040000002</v>
      </c>
      <c r="R14" s="8">
        <v>1553.8995199999999</v>
      </c>
      <c r="S14" s="8">
        <v>1942.028288</v>
      </c>
      <c r="T14" s="8" t="s">
        <v>52</v>
      </c>
      <c r="U14" s="8" t="s">
        <v>52</v>
      </c>
      <c r="V14" s="8" t="s">
        <v>52</v>
      </c>
      <c r="W14" s="8" t="s">
        <v>52</v>
      </c>
      <c r="X14" s="8" t="s">
        <v>52</v>
      </c>
      <c r="Y14" s="8" t="s">
        <v>52</v>
      </c>
      <c r="Z14" s="8" t="s">
        <v>52</v>
      </c>
      <c r="AA14" s="8" t="s">
        <v>52</v>
      </c>
      <c r="AB14" s="8" t="s">
        <v>52</v>
      </c>
      <c r="AC14" s="8" t="s">
        <v>52</v>
      </c>
      <c r="AD14" s="8" t="s">
        <v>52</v>
      </c>
      <c r="AE14" s="8" t="s">
        <v>52</v>
      </c>
    </row>
    <row r="15" spans="1:31" x14ac:dyDescent="0.3">
      <c r="A15" s="5" t="s">
        <v>162</v>
      </c>
      <c r="B15" s="8">
        <v>956.25216</v>
      </c>
      <c r="C15" s="8">
        <v>32659.542015999999</v>
      </c>
      <c r="D15" s="8">
        <v>11665.444863999999</v>
      </c>
      <c r="E15" s="8">
        <v>8089.1043840000002</v>
      </c>
      <c r="F15" s="8">
        <v>8062.386176</v>
      </c>
      <c r="G15" s="8">
        <v>8659.02592</v>
      </c>
      <c r="H15" s="8">
        <v>7335.1536640000004</v>
      </c>
      <c r="I15" s="8">
        <v>71.364608000000004</v>
      </c>
      <c r="J15" s="8" t="s">
        <v>52</v>
      </c>
      <c r="K15" s="8" t="s">
        <v>52</v>
      </c>
      <c r="L15" s="8" t="s">
        <v>52</v>
      </c>
      <c r="M15" s="8" t="s">
        <v>52</v>
      </c>
      <c r="N15" s="8" t="s">
        <v>52</v>
      </c>
      <c r="O15" s="8" t="s">
        <v>52</v>
      </c>
      <c r="P15" s="8" t="s">
        <v>52</v>
      </c>
      <c r="Q15" s="8">
        <v>5003.38688</v>
      </c>
      <c r="R15" s="8">
        <v>1696.2805760000001</v>
      </c>
      <c r="S15" s="8">
        <v>1959.3584639999999</v>
      </c>
      <c r="T15" s="8" t="s">
        <v>52</v>
      </c>
      <c r="U15" s="8" t="s">
        <v>52</v>
      </c>
      <c r="V15" s="8" t="s">
        <v>52</v>
      </c>
      <c r="W15" s="8" t="s">
        <v>52</v>
      </c>
      <c r="X15" s="8" t="s">
        <v>52</v>
      </c>
      <c r="Y15" s="8" t="s">
        <v>52</v>
      </c>
      <c r="Z15" s="8" t="s">
        <v>52</v>
      </c>
      <c r="AA15" s="8" t="s">
        <v>52</v>
      </c>
      <c r="AB15" s="8" t="s">
        <v>52</v>
      </c>
      <c r="AC15" s="8" t="s">
        <v>52</v>
      </c>
      <c r="AD15" s="8" t="s">
        <v>52</v>
      </c>
      <c r="AE15" s="8" t="s">
        <v>52</v>
      </c>
    </row>
    <row r="16" spans="1:31" x14ac:dyDescent="0.3">
      <c r="A16" s="5" t="s">
        <v>163</v>
      </c>
      <c r="B16" s="8">
        <v>926.48652800000002</v>
      </c>
      <c r="C16" s="8">
        <v>33151.156223999998</v>
      </c>
      <c r="D16" s="8">
        <v>14864.564224</v>
      </c>
      <c r="E16" s="8">
        <v>8067.3013759999994</v>
      </c>
      <c r="F16" s="8">
        <v>8104.96</v>
      </c>
      <c r="G16" s="8">
        <v>8458.6700799999999</v>
      </c>
      <c r="H16" s="8">
        <v>7232.4382719999994</v>
      </c>
      <c r="I16" s="8">
        <v>69.128191999999999</v>
      </c>
      <c r="J16" s="8" t="s">
        <v>52</v>
      </c>
      <c r="K16" s="8" t="s">
        <v>52</v>
      </c>
      <c r="L16" s="8" t="s">
        <v>52</v>
      </c>
      <c r="M16" s="8" t="s">
        <v>52</v>
      </c>
      <c r="N16" s="8" t="s">
        <v>52</v>
      </c>
      <c r="O16" s="8" t="s">
        <v>52</v>
      </c>
      <c r="P16" s="8" t="s">
        <v>52</v>
      </c>
      <c r="Q16" s="8">
        <v>4990.9800960000002</v>
      </c>
      <c r="R16" s="8">
        <v>1587.8963200000001</v>
      </c>
      <c r="S16" s="8">
        <v>1879.793664</v>
      </c>
      <c r="T16" s="8" t="s">
        <v>52</v>
      </c>
      <c r="U16" s="8" t="s">
        <v>52</v>
      </c>
      <c r="V16" s="8" t="s">
        <v>52</v>
      </c>
      <c r="W16" s="8" t="s">
        <v>52</v>
      </c>
      <c r="X16" s="8" t="s">
        <v>52</v>
      </c>
      <c r="Y16" s="8" t="s">
        <v>52</v>
      </c>
      <c r="Z16" s="8" t="s">
        <v>52</v>
      </c>
      <c r="AA16" s="8" t="s">
        <v>52</v>
      </c>
      <c r="AB16" s="8" t="s">
        <v>52</v>
      </c>
      <c r="AC16" s="8" t="s">
        <v>52</v>
      </c>
      <c r="AD16" s="8" t="s">
        <v>52</v>
      </c>
      <c r="AE16" s="8" t="s">
        <v>52</v>
      </c>
    </row>
    <row r="17" spans="1:31" x14ac:dyDescent="0.3">
      <c r="A17" s="5" t="s">
        <v>164</v>
      </c>
      <c r="B17" s="8">
        <v>1168.801792</v>
      </c>
      <c r="C17" s="8">
        <v>22701.989888</v>
      </c>
      <c r="D17" s="8">
        <v>15348.158464</v>
      </c>
      <c r="E17" s="8">
        <v>8087.4946559999998</v>
      </c>
      <c r="F17" s="8">
        <v>8074.0761599999996</v>
      </c>
      <c r="G17" s="8">
        <v>8468.4922880000013</v>
      </c>
      <c r="H17" s="8">
        <v>7405.5229440000003</v>
      </c>
      <c r="I17" s="8">
        <v>69.287936000000002</v>
      </c>
      <c r="J17" s="8" t="s">
        <v>52</v>
      </c>
      <c r="K17" s="8" t="s">
        <v>52</v>
      </c>
      <c r="L17" s="8" t="s">
        <v>52</v>
      </c>
      <c r="M17" s="8" t="s">
        <v>52</v>
      </c>
      <c r="N17" s="8" t="s">
        <v>52</v>
      </c>
      <c r="O17" s="8" t="s">
        <v>52</v>
      </c>
      <c r="P17" s="8" t="s">
        <v>52</v>
      </c>
      <c r="Q17" s="8">
        <v>4991.8238719999999</v>
      </c>
      <c r="R17" s="8">
        <v>1605.046272</v>
      </c>
      <c r="S17" s="8">
        <v>1871.6221439999999</v>
      </c>
      <c r="T17" s="8" t="s">
        <v>52</v>
      </c>
      <c r="U17" s="8" t="s">
        <v>52</v>
      </c>
      <c r="V17" s="8" t="s">
        <v>52</v>
      </c>
      <c r="W17" s="8" t="s">
        <v>52</v>
      </c>
      <c r="X17" s="8" t="s">
        <v>52</v>
      </c>
      <c r="Y17" s="8" t="s">
        <v>52</v>
      </c>
      <c r="Z17" s="8" t="s">
        <v>52</v>
      </c>
      <c r="AA17" s="8" t="s">
        <v>52</v>
      </c>
      <c r="AB17" s="8" t="s">
        <v>52</v>
      </c>
      <c r="AC17" s="8" t="s">
        <v>52</v>
      </c>
      <c r="AD17" s="8" t="s">
        <v>52</v>
      </c>
      <c r="AE17" s="8" t="s">
        <v>52</v>
      </c>
    </row>
    <row r="18" spans="1:31" x14ac:dyDescent="0.3">
      <c r="A18" s="5" t="s">
        <v>165</v>
      </c>
      <c r="B18" s="8">
        <v>268.52556800000002</v>
      </c>
      <c r="C18" s="8">
        <v>16851.615743999999</v>
      </c>
      <c r="D18" s="8">
        <v>1422.897152</v>
      </c>
      <c r="E18" s="8">
        <v>1548.1978879999999</v>
      </c>
      <c r="F18" s="8">
        <v>1436.7375360000001</v>
      </c>
      <c r="G18" s="8">
        <v>2711.166976</v>
      </c>
      <c r="H18" s="8">
        <v>1349.0503679999999</v>
      </c>
      <c r="I18" s="8">
        <v>69.775359999999992</v>
      </c>
      <c r="J18" s="8" t="s">
        <v>52</v>
      </c>
      <c r="K18" s="8" t="s">
        <v>52</v>
      </c>
      <c r="L18" s="8" t="s">
        <v>52</v>
      </c>
      <c r="M18" s="8" t="s">
        <v>52</v>
      </c>
      <c r="N18" s="8" t="s">
        <v>52</v>
      </c>
      <c r="O18" s="8" t="s">
        <v>52</v>
      </c>
      <c r="P18" s="8" t="s">
        <v>52</v>
      </c>
      <c r="Q18" s="8">
        <v>920.096768</v>
      </c>
      <c r="R18" s="8">
        <v>873.94304</v>
      </c>
      <c r="S18" s="8">
        <v>917.12716799999998</v>
      </c>
      <c r="T18" s="8" t="s">
        <v>52</v>
      </c>
      <c r="U18" s="8" t="s">
        <v>52</v>
      </c>
      <c r="V18" s="8" t="s">
        <v>52</v>
      </c>
      <c r="W18" s="8" t="s">
        <v>52</v>
      </c>
      <c r="X18" s="8" t="s">
        <v>52</v>
      </c>
      <c r="Y18" s="8" t="s">
        <v>52</v>
      </c>
      <c r="Z18" s="8" t="s">
        <v>52</v>
      </c>
      <c r="AA18" s="8" t="s">
        <v>52</v>
      </c>
      <c r="AB18" s="8" t="s">
        <v>52</v>
      </c>
      <c r="AC18" s="8" t="s">
        <v>52</v>
      </c>
      <c r="AD18" s="8" t="s">
        <v>52</v>
      </c>
      <c r="AE18" s="8" t="s">
        <v>52</v>
      </c>
    </row>
    <row r="19" spans="1:31" x14ac:dyDescent="0.3">
      <c r="A19" s="5" t="s">
        <v>166</v>
      </c>
      <c r="B19" s="8">
        <v>640.36454400000002</v>
      </c>
      <c r="C19" s="8">
        <v>31808.040959999998</v>
      </c>
      <c r="D19" s="8">
        <v>5719.990272</v>
      </c>
      <c r="E19" s="8">
        <v>8135.9585280000001</v>
      </c>
      <c r="F19" s="8">
        <v>8046.2807039999998</v>
      </c>
      <c r="G19" s="8">
        <v>7764.9879039999996</v>
      </c>
      <c r="H19" s="8">
        <v>3051.2783359999999</v>
      </c>
      <c r="I19" s="8">
        <v>68.321280000000002</v>
      </c>
      <c r="J19" s="8" t="s">
        <v>52</v>
      </c>
      <c r="K19" s="8" t="s">
        <v>52</v>
      </c>
      <c r="L19" s="8" t="s">
        <v>52</v>
      </c>
      <c r="M19" s="8" t="s">
        <v>52</v>
      </c>
      <c r="N19" s="8" t="s">
        <v>52</v>
      </c>
      <c r="O19" s="8" t="s">
        <v>52</v>
      </c>
      <c r="P19" s="8" t="s">
        <v>52</v>
      </c>
      <c r="Q19" s="8">
        <v>4993.8718719999997</v>
      </c>
      <c r="R19" s="8">
        <v>1369.665536</v>
      </c>
      <c r="S19" s="8">
        <v>1401.4504959999999</v>
      </c>
      <c r="T19" s="8" t="s">
        <v>52</v>
      </c>
      <c r="U19" s="8" t="s">
        <v>52</v>
      </c>
      <c r="V19" s="8" t="s">
        <v>52</v>
      </c>
      <c r="W19" s="8" t="s">
        <v>52</v>
      </c>
      <c r="X19" s="8" t="s">
        <v>52</v>
      </c>
      <c r="Y19" s="8" t="s">
        <v>52</v>
      </c>
      <c r="Z19" s="8" t="s">
        <v>52</v>
      </c>
      <c r="AA19" s="8" t="s">
        <v>52</v>
      </c>
      <c r="AB19" s="8" t="s">
        <v>52</v>
      </c>
      <c r="AC19" s="8" t="s">
        <v>52</v>
      </c>
      <c r="AD19" s="8" t="s">
        <v>52</v>
      </c>
      <c r="AE19" s="8" t="s">
        <v>52</v>
      </c>
    </row>
    <row r="20" spans="1:31" x14ac:dyDescent="0.3">
      <c r="A20" s="5" t="s">
        <v>167</v>
      </c>
      <c r="B20" s="8">
        <v>1084.0514559999999</v>
      </c>
      <c r="C20" s="8">
        <v>32681.992192000002</v>
      </c>
      <c r="D20" s="8">
        <v>9733.5705600000001</v>
      </c>
      <c r="E20" s="8">
        <v>8069.5664640000005</v>
      </c>
      <c r="F20" s="8">
        <v>8043.3684480000002</v>
      </c>
      <c r="G20" s="8">
        <v>8513.0444800000005</v>
      </c>
      <c r="H20" s="8">
        <v>3904.9994240000001</v>
      </c>
      <c r="I20" s="8">
        <v>75.370496000000003</v>
      </c>
      <c r="J20" s="8" t="s">
        <v>52</v>
      </c>
      <c r="K20" s="8" t="s">
        <v>52</v>
      </c>
      <c r="L20" s="8" t="s">
        <v>52</v>
      </c>
      <c r="M20" s="8" t="s">
        <v>52</v>
      </c>
      <c r="N20" s="8" t="s">
        <v>52</v>
      </c>
      <c r="O20" s="8" t="s">
        <v>52</v>
      </c>
      <c r="P20" s="8" t="s">
        <v>52</v>
      </c>
      <c r="Q20" s="8">
        <v>5001.6133120000004</v>
      </c>
      <c r="R20" s="8">
        <v>1842.1759999999999</v>
      </c>
      <c r="S20" s="8">
        <v>1669.2551679999999</v>
      </c>
      <c r="T20" s="8" t="s">
        <v>52</v>
      </c>
      <c r="U20" s="8" t="s">
        <v>52</v>
      </c>
      <c r="V20" s="8" t="s">
        <v>52</v>
      </c>
      <c r="W20" s="8" t="s">
        <v>52</v>
      </c>
      <c r="X20" s="8" t="s">
        <v>52</v>
      </c>
      <c r="Y20" s="8" t="s">
        <v>52</v>
      </c>
      <c r="Z20" s="8" t="s">
        <v>52</v>
      </c>
      <c r="AA20" s="8" t="s">
        <v>52</v>
      </c>
      <c r="AB20" s="8" t="s">
        <v>52</v>
      </c>
      <c r="AC20" s="8" t="s">
        <v>52</v>
      </c>
      <c r="AD20" s="8" t="s">
        <v>52</v>
      </c>
      <c r="AE20" s="8" t="s">
        <v>52</v>
      </c>
    </row>
    <row r="21" spans="1:31" x14ac:dyDescent="0.3">
      <c r="A21" s="5" t="s">
        <v>168</v>
      </c>
      <c r="B21" s="8">
        <v>1091.796992</v>
      </c>
      <c r="C21" s="8">
        <v>33469.349887999997</v>
      </c>
      <c r="D21" s="8">
        <v>12824.469504000001</v>
      </c>
      <c r="E21" s="8">
        <v>8075.4442239999998</v>
      </c>
      <c r="F21" s="8">
        <v>8035.5205120000001</v>
      </c>
      <c r="G21" s="8">
        <v>8382.8736000000008</v>
      </c>
      <c r="H21" s="8">
        <v>4396.2654719999991</v>
      </c>
      <c r="I21" s="8">
        <v>65.597440000000006</v>
      </c>
      <c r="J21" s="8" t="s">
        <v>52</v>
      </c>
      <c r="K21" s="8" t="s">
        <v>52</v>
      </c>
      <c r="L21" s="8" t="s">
        <v>52</v>
      </c>
      <c r="M21" s="8" t="s">
        <v>52</v>
      </c>
      <c r="N21" s="8" t="s">
        <v>52</v>
      </c>
      <c r="O21" s="8" t="s">
        <v>52</v>
      </c>
      <c r="P21" s="8" t="s">
        <v>52</v>
      </c>
      <c r="Q21" s="8">
        <v>4984.2012160000004</v>
      </c>
      <c r="R21" s="8">
        <v>1628.3525119999999</v>
      </c>
      <c r="S21" s="8">
        <v>1770.319872</v>
      </c>
      <c r="T21" s="8" t="s">
        <v>52</v>
      </c>
      <c r="U21" s="8" t="s">
        <v>52</v>
      </c>
      <c r="V21" s="8" t="s">
        <v>52</v>
      </c>
      <c r="W21" s="8" t="s">
        <v>52</v>
      </c>
      <c r="X21" s="8" t="s">
        <v>52</v>
      </c>
      <c r="Y21" s="8" t="s">
        <v>52</v>
      </c>
      <c r="Z21" s="8" t="s">
        <v>52</v>
      </c>
      <c r="AA21" s="8" t="s">
        <v>52</v>
      </c>
      <c r="AB21" s="8" t="s">
        <v>52</v>
      </c>
      <c r="AC21" s="8" t="s">
        <v>52</v>
      </c>
      <c r="AD21" s="8" t="s">
        <v>52</v>
      </c>
      <c r="AE21" s="8" t="s">
        <v>52</v>
      </c>
    </row>
    <row r="22" spans="1:31" x14ac:dyDescent="0.3">
      <c r="A22" s="5" t="s">
        <v>169</v>
      </c>
      <c r="B22" s="8">
        <v>1043.3904640000001</v>
      </c>
      <c r="C22" s="8">
        <v>31858.417664000001</v>
      </c>
      <c r="D22" s="8">
        <v>13439.160320000001</v>
      </c>
      <c r="E22" s="8">
        <v>8084.353024</v>
      </c>
      <c r="F22" s="8">
        <v>8107.7207040000003</v>
      </c>
      <c r="G22" s="8">
        <v>8329.6255999999994</v>
      </c>
      <c r="H22" s="8">
        <v>5102.7886079999998</v>
      </c>
      <c r="I22" s="8">
        <v>65.744895999999997</v>
      </c>
      <c r="J22" s="8" t="s">
        <v>52</v>
      </c>
      <c r="K22" s="8" t="s">
        <v>52</v>
      </c>
      <c r="L22" s="8" t="s">
        <v>52</v>
      </c>
      <c r="M22" s="8" t="s">
        <v>52</v>
      </c>
      <c r="N22" s="8" t="s">
        <v>52</v>
      </c>
      <c r="O22" s="8" t="s">
        <v>52</v>
      </c>
      <c r="P22" s="8" t="s">
        <v>52</v>
      </c>
      <c r="Q22" s="8">
        <v>4991.3282559999998</v>
      </c>
      <c r="R22" s="8">
        <v>1631.6088319999999</v>
      </c>
      <c r="S22" s="8">
        <v>1706.6885119999999</v>
      </c>
      <c r="T22" s="8" t="s">
        <v>52</v>
      </c>
      <c r="U22" s="8" t="s">
        <v>52</v>
      </c>
      <c r="V22" s="8" t="s">
        <v>52</v>
      </c>
      <c r="W22" s="8" t="s">
        <v>52</v>
      </c>
      <c r="X22" s="8" t="s">
        <v>52</v>
      </c>
      <c r="Y22" s="8" t="s">
        <v>52</v>
      </c>
      <c r="Z22" s="8" t="s">
        <v>52</v>
      </c>
      <c r="AA22" s="8" t="s">
        <v>52</v>
      </c>
      <c r="AB22" s="8" t="s">
        <v>52</v>
      </c>
      <c r="AC22" s="8" t="s">
        <v>52</v>
      </c>
      <c r="AD22" s="8" t="s">
        <v>52</v>
      </c>
      <c r="AE22" s="8" t="s">
        <v>52</v>
      </c>
    </row>
    <row r="23" spans="1:31" x14ac:dyDescent="0.3">
      <c r="A23" s="5" t="s">
        <v>170</v>
      </c>
      <c r="B23" s="8">
        <v>912.146432</v>
      </c>
      <c r="C23" s="8">
        <v>13206.495231999999</v>
      </c>
      <c r="D23" s="8">
        <v>12436.492287999999</v>
      </c>
      <c r="E23" s="8">
        <v>8083.6812800000007</v>
      </c>
      <c r="F23" s="8">
        <v>8048.0010240000001</v>
      </c>
      <c r="G23" s="8">
        <v>8334.3810560000002</v>
      </c>
      <c r="H23" s="8">
        <v>5215.1992319999999</v>
      </c>
      <c r="I23" s="8">
        <v>66.510847999999996</v>
      </c>
      <c r="J23" s="8" t="s">
        <v>52</v>
      </c>
      <c r="K23" s="8" t="s">
        <v>52</v>
      </c>
      <c r="L23" s="8" t="s">
        <v>52</v>
      </c>
      <c r="M23" s="8" t="s">
        <v>52</v>
      </c>
      <c r="N23" s="8" t="s">
        <v>52</v>
      </c>
      <c r="O23" s="8" t="s">
        <v>52</v>
      </c>
      <c r="P23" s="8" t="s">
        <v>52</v>
      </c>
      <c r="Q23" s="8">
        <v>5000.3066879999997</v>
      </c>
      <c r="R23" s="8">
        <v>1686.2863359999999</v>
      </c>
      <c r="S23" s="8">
        <v>1647.7880319999999</v>
      </c>
      <c r="T23" s="8" t="s">
        <v>52</v>
      </c>
      <c r="U23" s="8" t="s">
        <v>52</v>
      </c>
      <c r="V23" s="8" t="s">
        <v>52</v>
      </c>
      <c r="W23" s="8" t="s">
        <v>52</v>
      </c>
      <c r="X23" s="8" t="s">
        <v>52</v>
      </c>
      <c r="Y23" s="8" t="s">
        <v>52</v>
      </c>
      <c r="Z23" s="8" t="s">
        <v>52</v>
      </c>
      <c r="AA23" s="8" t="s">
        <v>52</v>
      </c>
      <c r="AB23" s="8" t="s">
        <v>52</v>
      </c>
      <c r="AC23" s="8" t="s">
        <v>52</v>
      </c>
      <c r="AD23" s="8" t="s">
        <v>52</v>
      </c>
      <c r="AE23" s="8" t="s">
        <v>52</v>
      </c>
    </row>
    <row r="24" spans="1:31" x14ac:dyDescent="0.3">
      <c r="A24" s="5" t="s">
        <v>171</v>
      </c>
      <c r="B24" s="8">
        <v>938.91788799999995</v>
      </c>
      <c r="C24" s="8">
        <v>23868.076032000001</v>
      </c>
      <c r="D24" s="8">
        <v>13535.076352</v>
      </c>
      <c r="E24" s="8">
        <v>8078.4097279999996</v>
      </c>
      <c r="F24" s="8">
        <v>8092.5327360000001</v>
      </c>
      <c r="G24" s="8">
        <v>8249.454592</v>
      </c>
      <c r="H24" s="8">
        <v>5647.9948800000011</v>
      </c>
      <c r="I24" s="8">
        <v>65.966080000000005</v>
      </c>
      <c r="J24" s="8" t="s">
        <v>52</v>
      </c>
      <c r="K24" s="8" t="s">
        <v>52</v>
      </c>
      <c r="L24" s="8" t="s">
        <v>52</v>
      </c>
      <c r="M24" s="8" t="s">
        <v>52</v>
      </c>
      <c r="N24" s="8" t="s">
        <v>52</v>
      </c>
      <c r="O24" s="8" t="s">
        <v>52</v>
      </c>
      <c r="P24" s="8" t="s">
        <v>52</v>
      </c>
      <c r="Q24" s="8">
        <v>4992.6062080000002</v>
      </c>
      <c r="R24" s="8">
        <v>1639.0103039999999</v>
      </c>
      <c r="S24" s="8">
        <v>1617.83808</v>
      </c>
      <c r="T24" s="8" t="s">
        <v>52</v>
      </c>
      <c r="U24" s="8" t="s">
        <v>52</v>
      </c>
      <c r="V24" s="8" t="s">
        <v>52</v>
      </c>
      <c r="W24" s="8" t="s">
        <v>52</v>
      </c>
      <c r="X24" s="8" t="s">
        <v>52</v>
      </c>
      <c r="Y24" s="8" t="s">
        <v>52</v>
      </c>
      <c r="Z24" s="8" t="s">
        <v>52</v>
      </c>
      <c r="AA24" s="8" t="s">
        <v>52</v>
      </c>
      <c r="AB24" s="8" t="s">
        <v>52</v>
      </c>
      <c r="AC24" s="8" t="s">
        <v>52</v>
      </c>
      <c r="AD24" s="8" t="s">
        <v>52</v>
      </c>
      <c r="AE24" s="8" t="s">
        <v>52</v>
      </c>
    </row>
    <row r="25" spans="1:31" x14ac:dyDescent="0.3">
      <c r="A25" s="5" t="s">
        <v>172</v>
      </c>
      <c r="B25" s="8">
        <v>894.03391999999997</v>
      </c>
      <c r="C25" s="8">
        <v>32856.735743999998</v>
      </c>
      <c r="D25" s="8">
        <v>15040.454656</v>
      </c>
      <c r="E25" s="8">
        <v>8085.3688320000001</v>
      </c>
      <c r="F25" s="8">
        <v>8113.4100479999997</v>
      </c>
      <c r="G25" s="8">
        <v>8227.6761599999991</v>
      </c>
      <c r="H25" s="8">
        <v>6222.282752000001</v>
      </c>
      <c r="I25" s="8">
        <v>65.953791999999993</v>
      </c>
      <c r="J25" s="8" t="s">
        <v>52</v>
      </c>
      <c r="K25" s="8" t="s">
        <v>52</v>
      </c>
      <c r="L25" s="8" t="s">
        <v>52</v>
      </c>
      <c r="M25" s="8" t="s">
        <v>52</v>
      </c>
      <c r="N25" s="8" t="s">
        <v>52</v>
      </c>
      <c r="O25" s="8" t="s">
        <v>52</v>
      </c>
      <c r="P25" s="8" t="s">
        <v>52</v>
      </c>
      <c r="Q25" s="8">
        <v>4996.521984</v>
      </c>
      <c r="R25" s="8">
        <v>1540.5998079999999</v>
      </c>
      <c r="S25" s="8">
        <v>1690.5543680000001</v>
      </c>
      <c r="T25" s="8" t="s">
        <v>52</v>
      </c>
      <c r="U25" s="8" t="s">
        <v>52</v>
      </c>
      <c r="V25" s="8" t="s">
        <v>52</v>
      </c>
      <c r="W25" s="8" t="s">
        <v>52</v>
      </c>
      <c r="X25" s="8" t="s">
        <v>52</v>
      </c>
      <c r="Y25" s="8" t="s">
        <v>52</v>
      </c>
      <c r="Z25" s="8" t="s">
        <v>52</v>
      </c>
      <c r="AA25" s="8" t="s">
        <v>52</v>
      </c>
      <c r="AB25" s="8" t="s">
        <v>52</v>
      </c>
      <c r="AC25" s="8" t="s">
        <v>52</v>
      </c>
      <c r="AD25" s="8" t="s">
        <v>52</v>
      </c>
      <c r="AE25" s="8" t="s">
        <v>52</v>
      </c>
    </row>
    <row r="26" spans="1:31" x14ac:dyDescent="0.3">
      <c r="A26" s="5" t="s">
        <v>173</v>
      </c>
      <c r="B26" s="8">
        <v>976.51507200000003</v>
      </c>
      <c r="C26" s="8">
        <v>32834.584576000001</v>
      </c>
      <c r="D26" s="8">
        <v>15414.059008</v>
      </c>
      <c r="E26" s="8">
        <v>8059.5640320000002</v>
      </c>
      <c r="F26" s="8">
        <v>8124.8215039999995</v>
      </c>
      <c r="G26" s="8">
        <v>8245.2111359999999</v>
      </c>
      <c r="H26" s="8">
        <v>6696.3906559999996</v>
      </c>
      <c r="I26" s="8">
        <v>65.806336000000002</v>
      </c>
      <c r="J26" s="8" t="s">
        <v>52</v>
      </c>
      <c r="K26" s="8" t="s">
        <v>52</v>
      </c>
      <c r="L26" s="8" t="s">
        <v>52</v>
      </c>
      <c r="M26" s="8" t="s">
        <v>52</v>
      </c>
      <c r="N26" s="8" t="s">
        <v>52</v>
      </c>
      <c r="O26" s="8" t="s">
        <v>52</v>
      </c>
      <c r="P26" s="8" t="s">
        <v>52</v>
      </c>
      <c r="Q26" s="8">
        <v>5012.9428479999997</v>
      </c>
      <c r="R26" s="8">
        <v>1698.0746240000001</v>
      </c>
      <c r="S26" s="8">
        <v>1534.1936639999999</v>
      </c>
      <c r="T26" s="8" t="s">
        <v>52</v>
      </c>
      <c r="U26" s="8" t="s">
        <v>52</v>
      </c>
      <c r="V26" s="8" t="s">
        <v>52</v>
      </c>
      <c r="W26" s="8" t="s">
        <v>52</v>
      </c>
      <c r="X26" s="8" t="s">
        <v>52</v>
      </c>
      <c r="Y26" s="8" t="s">
        <v>52</v>
      </c>
      <c r="Z26" s="8" t="s">
        <v>52</v>
      </c>
      <c r="AA26" s="8" t="s">
        <v>52</v>
      </c>
      <c r="AB26" s="8" t="s">
        <v>52</v>
      </c>
      <c r="AC26" s="8" t="s">
        <v>52</v>
      </c>
      <c r="AD26" s="8" t="s">
        <v>52</v>
      </c>
      <c r="AE26" s="8" t="s">
        <v>52</v>
      </c>
    </row>
    <row r="27" spans="1:31" x14ac:dyDescent="0.3">
      <c r="A27" s="5" t="s">
        <v>174</v>
      </c>
      <c r="B27" s="8">
        <v>962.277376</v>
      </c>
      <c r="C27" s="8">
        <v>22267.080704</v>
      </c>
      <c r="D27" s="8">
        <v>14043.697152000001</v>
      </c>
      <c r="E27" s="8">
        <v>8159.264768</v>
      </c>
      <c r="F27" s="8">
        <v>8111.4480640000002</v>
      </c>
      <c r="G27" s="8">
        <v>8323.0720000000001</v>
      </c>
      <c r="H27" s="8">
        <v>6740.3366400000004</v>
      </c>
      <c r="I27" s="8">
        <v>68.17792</v>
      </c>
      <c r="J27" s="8" t="s">
        <v>52</v>
      </c>
      <c r="K27" s="8" t="s">
        <v>52</v>
      </c>
      <c r="L27" s="8" t="s">
        <v>52</v>
      </c>
      <c r="M27" s="8" t="s">
        <v>52</v>
      </c>
      <c r="N27" s="8" t="s">
        <v>52</v>
      </c>
      <c r="O27" s="8" t="s">
        <v>52</v>
      </c>
      <c r="P27" s="8" t="s">
        <v>52</v>
      </c>
      <c r="Q27" s="8">
        <v>4996.5178880000003</v>
      </c>
      <c r="R27" s="8">
        <v>1664.2088960000001</v>
      </c>
      <c r="S27" s="8">
        <v>1662.3452159999999</v>
      </c>
      <c r="T27" s="8" t="s">
        <v>52</v>
      </c>
      <c r="U27" s="8" t="s">
        <v>52</v>
      </c>
      <c r="V27" s="8" t="s">
        <v>52</v>
      </c>
      <c r="W27" s="8" t="s">
        <v>52</v>
      </c>
      <c r="X27" s="8" t="s">
        <v>52</v>
      </c>
      <c r="Y27" s="8" t="s">
        <v>52</v>
      </c>
      <c r="Z27" s="8" t="s">
        <v>52</v>
      </c>
      <c r="AA27" s="8" t="s">
        <v>52</v>
      </c>
      <c r="AB27" s="8" t="s">
        <v>52</v>
      </c>
      <c r="AC27" s="8" t="s">
        <v>52</v>
      </c>
      <c r="AD27" s="8" t="s">
        <v>52</v>
      </c>
      <c r="AE27" s="8" t="s">
        <v>52</v>
      </c>
    </row>
    <row r="28" spans="1:31" x14ac:dyDescent="0.3">
      <c r="A28" s="5" t="s">
        <v>175</v>
      </c>
      <c r="B28" s="8">
        <v>943.41939200000002</v>
      </c>
      <c r="C28" s="8">
        <v>32839.114752000001</v>
      </c>
      <c r="D28" s="8">
        <v>15485.304832</v>
      </c>
      <c r="E28" s="8">
        <v>8089.7310719999996</v>
      </c>
      <c r="F28" s="8">
        <v>8147.9352319999998</v>
      </c>
      <c r="G28" s="8">
        <v>8034.5579519999992</v>
      </c>
      <c r="H28" s="8">
        <v>7363.727359999999</v>
      </c>
      <c r="I28" s="8">
        <v>72.421376000000009</v>
      </c>
      <c r="J28" s="8" t="s">
        <v>52</v>
      </c>
      <c r="K28" s="8" t="s">
        <v>52</v>
      </c>
      <c r="L28" s="8" t="s">
        <v>52</v>
      </c>
      <c r="M28" s="8" t="s">
        <v>52</v>
      </c>
      <c r="N28" s="8" t="s">
        <v>52</v>
      </c>
      <c r="O28" s="8" t="s">
        <v>52</v>
      </c>
      <c r="P28" s="8" t="s">
        <v>52</v>
      </c>
      <c r="Q28" s="8">
        <v>5005.8895359999997</v>
      </c>
      <c r="R28" s="8">
        <v>1510.7399680000001</v>
      </c>
      <c r="S28" s="8">
        <v>1517.9284479999999</v>
      </c>
      <c r="T28" s="8" t="s">
        <v>52</v>
      </c>
      <c r="U28" s="8" t="s">
        <v>52</v>
      </c>
      <c r="V28" s="8" t="s">
        <v>52</v>
      </c>
      <c r="W28" s="8" t="s">
        <v>52</v>
      </c>
      <c r="X28" s="8" t="s">
        <v>52</v>
      </c>
      <c r="Y28" s="8" t="s">
        <v>52</v>
      </c>
      <c r="Z28" s="8" t="s">
        <v>52</v>
      </c>
      <c r="AA28" s="8" t="s">
        <v>52</v>
      </c>
      <c r="AB28" s="8" t="s">
        <v>52</v>
      </c>
      <c r="AC28" s="8" t="s">
        <v>52</v>
      </c>
      <c r="AD28" s="8" t="s">
        <v>52</v>
      </c>
      <c r="AE28" s="8" t="s">
        <v>52</v>
      </c>
    </row>
    <row r="29" spans="1:31" x14ac:dyDescent="0.3">
      <c r="A29" s="5" t="s">
        <v>176</v>
      </c>
      <c r="B29" s="8">
        <v>261.685248</v>
      </c>
      <c r="C29" s="8">
        <v>13014.167552000001</v>
      </c>
      <c r="D29" s="8">
        <v>1404.2726399999999</v>
      </c>
      <c r="E29" s="8">
        <v>1331.9618559999999</v>
      </c>
      <c r="F29" s="8">
        <v>1402.195968</v>
      </c>
      <c r="G29" s="8">
        <v>2805.9607040000001</v>
      </c>
      <c r="H29" s="8">
        <v>1240.3261440000001</v>
      </c>
      <c r="I29" s="8">
        <v>68.603904</v>
      </c>
      <c r="J29" s="8" t="s">
        <v>52</v>
      </c>
      <c r="K29" s="8" t="s">
        <v>52</v>
      </c>
      <c r="L29" s="8" t="s">
        <v>52</v>
      </c>
      <c r="M29" s="8" t="s">
        <v>52</v>
      </c>
      <c r="N29" s="8" t="s">
        <v>52</v>
      </c>
      <c r="O29" s="8" t="s">
        <v>52</v>
      </c>
      <c r="P29" s="8" t="s">
        <v>52</v>
      </c>
      <c r="Q29" s="8">
        <v>931.84819200000004</v>
      </c>
      <c r="R29" s="8">
        <v>872.59136000000001</v>
      </c>
      <c r="S29" s="8">
        <v>1001.521152</v>
      </c>
      <c r="T29" s="8" t="s">
        <v>52</v>
      </c>
      <c r="U29" s="8" t="s">
        <v>52</v>
      </c>
      <c r="V29" s="8" t="s">
        <v>52</v>
      </c>
      <c r="W29" s="8" t="s">
        <v>52</v>
      </c>
      <c r="X29" s="8" t="s">
        <v>52</v>
      </c>
      <c r="Y29" s="8" t="s">
        <v>52</v>
      </c>
      <c r="Z29" s="8" t="s">
        <v>52</v>
      </c>
      <c r="AA29" s="8" t="s">
        <v>52</v>
      </c>
      <c r="AB29" s="8" t="s">
        <v>52</v>
      </c>
      <c r="AC29" s="8" t="s">
        <v>52</v>
      </c>
      <c r="AD29" s="8" t="s">
        <v>52</v>
      </c>
      <c r="AE29" s="8" t="s">
        <v>52</v>
      </c>
    </row>
    <row r="30" spans="1:31" x14ac:dyDescent="0.3">
      <c r="A30" s="5" t="s">
        <v>177</v>
      </c>
      <c r="B30" s="8">
        <v>594.62041599999998</v>
      </c>
      <c r="C30" s="8">
        <v>32298.754047999999</v>
      </c>
      <c r="D30" s="8">
        <v>7273.7382399999997</v>
      </c>
      <c r="E30" s="8">
        <v>8108.1303039999993</v>
      </c>
      <c r="F30" s="8">
        <v>8045.6744959999996</v>
      </c>
      <c r="G30" s="8">
        <v>7732.8465920000008</v>
      </c>
      <c r="H30" s="8">
        <v>2979.217408</v>
      </c>
      <c r="I30" s="8">
        <v>73.326592000000005</v>
      </c>
      <c r="J30" s="8" t="s">
        <v>52</v>
      </c>
      <c r="K30" s="8" t="s">
        <v>52</v>
      </c>
      <c r="L30" s="8" t="s">
        <v>52</v>
      </c>
      <c r="M30" s="8" t="s">
        <v>52</v>
      </c>
      <c r="N30" s="8" t="s">
        <v>52</v>
      </c>
      <c r="O30" s="8" t="s">
        <v>52</v>
      </c>
      <c r="P30" s="8" t="s">
        <v>52</v>
      </c>
      <c r="Q30" s="8">
        <v>4986.6547200000005</v>
      </c>
      <c r="R30" s="8">
        <v>1379.2542719999999</v>
      </c>
      <c r="S30" s="8">
        <v>1366.9376</v>
      </c>
      <c r="T30" s="8" t="s">
        <v>52</v>
      </c>
      <c r="U30" s="8" t="s">
        <v>52</v>
      </c>
      <c r="V30" s="8" t="s">
        <v>52</v>
      </c>
      <c r="W30" s="8" t="s">
        <v>52</v>
      </c>
      <c r="X30" s="8" t="s">
        <v>52</v>
      </c>
      <c r="Y30" s="8" t="s">
        <v>52</v>
      </c>
      <c r="Z30" s="8" t="s">
        <v>52</v>
      </c>
      <c r="AA30" s="8" t="s">
        <v>52</v>
      </c>
      <c r="AB30" s="8" t="s">
        <v>52</v>
      </c>
      <c r="AC30" s="8" t="s">
        <v>52</v>
      </c>
      <c r="AD30" s="8" t="s">
        <v>52</v>
      </c>
      <c r="AE30" s="8" t="s">
        <v>52</v>
      </c>
    </row>
    <row r="31" spans="1:31" x14ac:dyDescent="0.3">
      <c r="A31" s="5" t="s">
        <v>178</v>
      </c>
      <c r="B31" s="8">
        <v>1262.3708160000001</v>
      </c>
      <c r="C31" s="8">
        <v>32497.029119999999</v>
      </c>
      <c r="D31" s="8">
        <v>7131.406336</v>
      </c>
      <c r="E31" s="8">
        <v>8088.6579199999996</v>
      </c>
      <c r="F31" s="8">
        <v>8061.7431040000001</v>
      </c>
      <c r="G31" s="8">
        <v>9951.7276160000001</v>
      </c>
      <c r="H31" s="8">
        <v>4063.5514880000001</v>
      </c>
      <c r="I31" s="8">
        <v>73.060351999999995</v>
      </c>
      <c r="J31" s="8" t="s">
        <v>52</v>
      </c>
      <c r="K31" s="8" t="s">
        <v>52</v>
      </c>
      <c r="L31" s="8" t="s">
        <v>52</v>
      </c>
      <c r="M31" s="8" t="s">
        <v>52</v>
      </c>
      <c r="N31" s="8" t="s">
        <v>52</v>
      </c>
      <c r="O31" s="8" t="s">
        <v>52</v>
      </c>
      <c r="P31" s="8" t="s">
        <v>52</v>
      </c>
      <c r="Q31" s="8">
        <v>5012.8363520000003</v>
      </c>
      <c r="R31" s="8">
        <v>2619.7975040000001</v>
      </c>
      <c r="S31" s="8">
        <v>2319.0937600000002</v>
      </c>
      <c r="T31" s="8" t="s">
        <v>52</v>
      </c>
      <c r="U31" s="8" t="s">
        <v>52</v>
      </c>
      <c r="V31" s="8" t="s">
        <v>52</v>
      </c>
      <c r="W31" s="8" t="s">
        <v>52</v>
      </c>
      <c r="X31" s="8" t="s">
        <v>52</v>
      </c>
      <c r="Y31" s="8" t="s">
        <v>52</v>
      </c>
      <c r="Z31" s="8" t="s">
        <v>52</v>
      </c>
      <c r="AA31" s="8" t="s">
        <v>52</v>
      </c>
      <c r="AB31" s="8" t="s">
        <v>52</v>
      </c>
      <c r="AC31" s="8" t="s">
        <v>52</v>
      </c>
      <c r="AD31" s="8" t="s">
        <v>52</v>
      </c>
      <c r="AE31" s="8" t="s">
        <v>52</v>
      </c>
    </row>
    <row r="32" spans="1:31" x14ac:dyDescent="0.3">
      <c r="A32" s="5" t="s">
        <v>179</v>
      </c>
      <c r="B32" s="8">
        <v>1252.7247359999999</v>
      </c>
      <c r="C32" s="8">
        <v>33225.728000000003</v>
      </c>
      <c r="D32" s="8">
        <v>9367.1260160000002</v>
      </c>
      <c r="E32" s="8">
        <v>8082.5057280000001</v>
      </c>
      <c r="F32" s="8">
        <v>8061.8291200000003</v>
      </c>
      <c r="G32" s="8">
        <v>11795.419136</v>
      </c>
      <c r="H32" s="8">
        <v>4410.0526079999991</v>
      </c>
      <c r="I32" s="8">
        <v>72.753152</v>
      </c>
      <c r="J32" s="8" t="s">
        <v>52</v>
      </c>
      <c r="K32" s="8" t="s">
        <v>52</v>
      </c>
      <c r="L32" s="8" t="s">
        <v>52</v>
      </c>
      <c r="M32" s="8" t="s">
        <v>52</v>
      </c>
      <c r="N32" s="8" t="s">
        <v>52</v>
      </c>
      <c r="O32" s="8" t="s">
        <v>52</v>
      </c>
      <c r="P32" s="8" t="s">
        <v>52</v>
      </c>
      <c r="Q32" s="8">
        <v>5000.8801279999998</v>
      </c>
      <c r="R32" s="8">
        <v>3015.1434239999999</v>
      </c>
      <c r="S32" s="8">
        <v>3779.3955839999999</v>
      </c>
      <c r="T32" s="8" t="s">
        <v>52</v>
      </c>
      <c r="U32" s="8" t="s">
        <v>52</v>
      </c>
      <c r="V32" s="8" t="s">
        <v>52</v>
      </c>
      <c r="W32" s="8" t="s">
        <v>52</v>
      </c>
      <c r="X32" s="8" t="s">
        <v>52</v>
      </c>
      <c r="Y32" s="8" t="s">
        <v>52</v>
      </c>
      <c r="Z32" s="8" t="s">
        <v>52</v>
      </c>
      <c r="AA32" s="8" t="s">
        <v>52</v>
      </c>
      <c r="AB32" s="8" t="s">
        <v>52</v>
      </c>
      <c r="AC32" s="8" t="s">
        <v>52</v>
      </c>
      <c r="AD32" s="8" t="s">
        <v>52</v>
      </c>
      <c r="AE32" s="8" t="s">
        <v>52</v>
      </c>
    </row>
    <row r="33" spans="1:31" x14ac:dyDescent="0.3">
      <c r="A33" s="5" t="s">
        <v>180</v>
      </c>
      <c r="B33" s="8">
        <v>954.544128</v>
      </c>
      <c r="C33" s="8">
        <v>33550.675968000003</v>
      </c>
      <c r="D33" s="8">
        <v>11827.732480000001</v>
      </c>
      <c r="E33" s="8">
        <v>8092.0084479999996</v>
      </c>
      <c r="F33" s="8">
        <v>8044.6791679999997</v>
      </c>
      <c r="G33" s="8">
        <v>9723.0847999999987</v>
      </c>
      <c r="H33" s="8">
        <v>4729.2416000000003</v>
      </c>
      <c r="I33" s="8">
        <v>72.478719999999996</v>
      </c>
      <c r="J33" s="8" t="s">
        <v>52</v>
      </c>
      <c r="K33" s="8" t="s">
        <v>52</v>
      </c>
      <c r="L33" s="8" t="s">
        <v>52</v>
      </c>
      <c r="M33" s="8" t="s">
        <v>52</v>
      </c>
      <c r="N33" s="8" t="s">
        <v>52</v>
      </c>
      <c r="O33" s="8" t="s">
        <v>52</v>
      </c>
      <c r="P33" s="8" t="s">
        <v>52</v>
      </c>
      <c r="Q33" s="8">
        <v>5004.2183679999998</v>
      </c>
      <c r="R33" s="8">
        <v>2500.9274879999998</v>
      </c>
      <c r="S33" s="8">
        <v>2217.938944</v>
      </c>
      <c r="T33" s="8" t="s">
        <v>52</v>
      </c>
      <c r="U33" s="8" t="s">
        <v>52</v>
      </c>
      <c r="V33" s="8" t="s">
        <v>52</v>
      </c>
      <c r="W33" s="8" t="s">
        <v>52</v>
      </c>
      <c r="X33" s="8" t="s">
        <v>52</v>
      </c>
      <c r="Y33" s="8" t="s">
        <v>52</v>
      </c>
      <c r="Z33" s="8" t="s">
        <v>52</v>
      </c>
      <c r="AA33" s="8" t="s">
        <v>52</v>
      </c>
      <c r="AB33" s="8" t="s">
        <v>52</v>
      </c>
      <c r="AC33" s="8" t="s">
        <v>52</v>
      </c>
      <c r="AD33" s="8" t="s">
        <v>52</v>
      </c>
      <c r="AE33" s="8" t="s">
        <v>52</v>
      </c>
    </row>
    <row r="34" spans="1:31" x14ac:dyDescent="0.3">
      <c r="A34" s="5" t="s">
        <v>181</v>
      </c>
      <c r="B34" s="8">
        <v>1120.157696</v>
      </c>
      <c r="C34" s="8">
        <v>32536.383487999999</v>
      </c>
      <c r="D34" s="8">
        <v>12932.268032</v>
      </c>
      <c r="E34" s="8">
        <v>8086.4378879999986</v>
      </c>
      <c r="F34" s="8">
        <v>8081.5513600000004</v>
      </c>
      <c r="G34" s="8">
        <v>9855.2504320000007</v>
      </c>
      <c r="H34" s="8">
        <v>5305.0490879999998</v>
      </c>
      <c r="I34" s="8">
        <v>74.899456000000001</v>
      </c>
      <c r="J34" s="8" t="s">
        <v>52</v>
      </c>
      <c r="K34" s="8" t="s">
        <v>52</v>
      </c>
      <c r="L34" s="8" t="s">
        <v>52</v>
      </c>
      <c r="M34" s="8" t="s">
        <v>52</v>
      </c>
      <c r="N34" s="8" t="s">
        <v>52</v>
      </c>
      <c r="O34" s="8" t="s">
        <v>52</v>
      </c>
      <c r="P34" s="8" t="s">
        <v>52</v>
      </c>
      <c r="Q34" s="8">
        <v>5007.2084480000003</v>
      </c>
      <c r="R34" s="8">
        <v>2200.9323519999998</v>
      </c>
      <c r="S34" s="8">
        <v>2647.1096320000001</v>
      </c>
      <c r="T34" s="8" t="s">
        <v>52</v>
      </c>
      <c r="U34" s="8" t="s">
        <v>52</v>
      </c>
      <c r="V34" s="8" t="s">
        <v>52</v>
      </c>
      <c r="W34" s="8" t="s">
        <v>52</v>
      </c>
      <c r="X34" s="8" t="s">
        <v>52</v>
      </c>
      <c r="Y34" s="8" t="s">
        <v>52</v>
      </c>
      <c r="Z34" s="8" t="s">
        <v>52</v>
      </c>
      <c r="AA34" s="8" t="s">
        <v>52</v>
      </c>
      <c r="AB34" s="8" t="s">
        <v>52</v>
      </c>
      <c r="AC34" s="8" t="s">
        <v>52</v>
      </c>
      <c r="AD34" s="8" t="s">
        <v>52</v>
      </c>
      <c r="AE34" s="8" t="s">
        <v>52</v>
      </c>
    </row>
    <row r="35" spans="1:31" x14ac:dyDescent="0.3">
      <c r="A35" s="5" t="s">
        <v>182</v>
      </c>
      <c r="B35" s="8">
        <v>862.33497599999998</v>
      </c>
      <c r="C35" s="8">
        <v>32625.545215999999</v>
      </c>
      <c r="D35" s="8">
        <v>13770.936320000001</v>
      </c>
      <c r="E35" s="8">
        <v>8076.8204800000003</v>
      </c>
      <c r="F35" s="8">
        <v>8044.3637760000001</v>
      </c>
      <c r="G35" s="8">
        <v>10161.602559999999</v>
      </c>
      <c r="H35" s="8">
        <v>5627.5804160000007</v>
      </c>
      <c r="I35" s="8">
        <v>72.814592000000005</v>
      </c>
      <c r="J35" s="8" t="s">
        <v>52</v>
      </c>
      <c r="K35" s="8" t="s">
        <v>52</v>
      </c>
      <c r="L35" s="8" t="s">
        <v>52</v>
      </c>
      <c r="M35" s="8" t="s">
        <v>52</v>
      </c>
      <c r="N35" s="8" t="s">
        <v>52</v>
      </c>
      <c r="O35" s="8" t="s">
        <v>52</v>
      </c>
      <c r="P35" s="8" t="s">
        <v>52</v>
      </c>
      <c r="Q35" s="8">
        <v>4998.2668800000001</v>
      </c>
      <c r="R35" s="8">
        <v>2533.1343360000001</v>
      </c>
      <c r="S35" s="8">
        <v>2630.2013440000001</v>
      </c>
      <c r="T35" s="8" t="s">
        <v>52</v>
      </c>
      <c r="U35" s="8" t="s">
        <v>52</v>
      </c>
      <c r="V35" s="8" t="s">
        <v>52</v>
      </c>
      <c r="W35" s="8" t="s">
        <v>52</v>
      </c>
      <c r="X35" s="8" t="s">
        <v>52</v>
      </c>
      <c r="Y35" s="8" t="s">
        <v>52</v>
      </c>
      <c r="Z35" s="8" t="s">
        <v>52</v>
      </c>
      <c r="AA35" s="8" t="s">
        <v>52</v>
      </c>
      <c r="AB35" s="8" t="s">
        <v>52</v>
      </c>
      <c r="AC35" s="8" t="s">
        <v>52</v>
      </c>
      <c r="AD35" s="8" t="s">
        <v>52</v>
      </c>
      <c r="AE35" s="8" t="s">
        <v>52</v>
      </c>
    </row>
    <row r="36" spans="1:31" x14ac:dyDescent="0.3">
      <c r="A36" s="5" t="s">
        <v>183</v>
      </c>
      <c r="B36" s="8">
        <v>971.01414399999999</v>
      </c>
      <c r="C36" s="8">
        <v>31921.197056000001</v>
      </c>
      <c r="D36" s="8">
        <v>14273.302528</v>
      </c>
      <c r="E36" s="8">
        <v>8103.0512639999997</v>
      </c>
      <c r="F36" s="8">
        <v>8097.0506240000004</v>
      </c>
      <c r="G36" s="8">
        <v>9748.7421439999998</v>
      </c>
      <c r="H36" s="8">
        <v>6192.3450879999991</v>
      </c>
      <c r="I36" s="8">
        <v>72.855552000000003</v>
      </c>
      <c r="J36" s="8" t="s">
        <v>52</v>
      </c>
      <c r="K36" s="8" t="s">
        <v>52</v>
      </c>
      <c r="L36" s="8" t="s">
        <v>52</v>
      </c>
      <c r="M36" s="8" t="s">
        <v>52</v>
      </c>
      <c r="N36" s="8" t="s">
        <v>52</v>
      </c>
      <c r="O36" s="8" t="s">
        <v>52</v>
      </c>
      <c r="P36" s="8" t="s">
        <v>52</v>
      </c>
      <c r="Q36" s="8">
        <v>5000.4049919999998</v>
      </c>
      <c r="R36" s="8">
        <v>2200.4039680000001</v>
      </c>
      <c r="S36" s="8">
        <v>2547.933184</v>
      </c>
      <c r="T36" s="8" t="s">
        <v>52</v>
      </c>
      <c r="U36" s="8" t="s">
        <v>52</v>
      </c>
      <c r="V36" s="8" t="s">
        <v>52</v>
      </c>
      <c r="W36" s="8" t="s">
        <v>52</v>
      </c>
      <c r="X36" s="8" t="s">
        <v>52</v>
      </c>
      <c r="Y36" s="8" t="s">
        <v>52</v>
      </c>
      <c r="Z36" s="8" t="s">
        <v>52</v>
      </c>
      <c r="AA36" s="8" t="s">
        <v>52</v>
      </c>
      <c r="AB36" s="8" t="s">
        <v>52</v>
      </c>
      <c r="AC36" s="8" t="s">
        <v>52</v>
      </c>
      <c r="AD36" s="8" t="s">
        <v>52</v>
      </c>
      <c r="AE36" s="8" t="s">
        <v>52</v>
      </c>
    </row>
    <row r="37" spans="1:31" x14ac:dyDescent="0.3">
      <c r="A37" s="5" t="s">
        <v>184</v>
      </c>
      <c r="B37" s="8">
        <v>1076.670464</v>
      </c>
      <c r="C37" s="8">
        <v>31946.108928000001</v>
      </c>
      <c r="D37" s="8">
        <v>15159.652351999999</v>
      </c>
      <c r="E37" s="8">
        <v>8078.1926400000002</v>
      </c>
      <c r="F37" s="8">
        <v>8053.5142400000004</v>
      </c>
      <c r="G37" s="8">
        <v>9455.0835200000001</v>
      </c>
      <c r="H37" s="8">
        <v>6461.2966400000014</v>
      </c>
      <c r="I37" s="8">
        <v>73.252864000000002</v>
      </c>
      <c r="J37" s="8" t="s">
        <v>52</v>
      </c>
      <c r="K37" s="8" t="s">
        <v>52</v>
      </c>
      <c r="L37" s="8" t="s">
        <v>52</v>
      </c>
      <c r="M37" s="8" t="s">
        <v>52</v>
      </c>
      <c r="N37" s="8" t="s">
        <v>52</v>
      </c>
      <c r="O37" s="8" t="s">
        <v>52</v>
      </c>
      <c r="P37" s="8" t="s">
        <v>52</v>
      </c>
      <c r="Q37" s="8">
        <v>4995.6003840000003</v>
      </c>
      <c r="R37" s="8">
        <v>2233.9706879999999</v>
      </c>
      <c r="S37" s="8">
        <v>2225.5124479999999</v>
      </c>
      <c r="T37" s="8" t="s">
        <v>52</v>
      </c>
      <c r="U37" s="8" t="s">
        <v>52</v>
      </c>
      <c r="V37" s="8" t="s">
        <v>52</v>
      </c>
      <c r="W37" s="8" t="s">
        <v>52</v>
      </c>
      <c r="X37" s="8" t="s">
        <v>52</v>
      </c>
      <c r="Y37" s="8" t="s">
        <v>52</v>
      </c>
      <c r="Z37" s="8" t="s">
        <v>52</v>
      </c>
      <c r="AA37" s="8" t="s">
        <v>52</v>
      </c>
      <c r="AB37" s="8" t="s">
        <v>52</v>
      </c>
      <c r="AC37" s="8" t="s">
        <v>52</v>
      </c>
      <c r="AD37" s="8" t="s">
        <v>52</v>
      </c>
      <c r="AE37" s="8" t="s">
        <v>52</v>
      </c>
    </row>
    <row r="38" spans="1:31" x14ac:dyDescent="0.3">
      <c r="A38" s="5" t="s">
        <v>185</v>
      </c>
      <c r="B38" s="8">
        <v>1036.2142719999999</v>
      </c>
      <c r="C38" s="8">
        <v>13729.325056</v>
      </c>
      <c r="D38" s="8">
        <v>15648.845824</v>
      </c>
      <c r="E38" s="8">
        <v>8080.207872</v>
      </c>
      <c r="F38" s="8">
        <v>8050.25792</v>
      </c>
      <c r="G38" s="8">
        <v>9798.1112319999993</v>
      </c>
      <c r="H38" s="8">
        <v>7338.3649280000009</v>
      </c>
      <c r="I38" s="8">
        <v>72.544256000000004</v>
      </c>
      <c r="J38" s="8" t="s">
        <v>52</v>
      </c>
      <c r="K38" s="8" t="s">
        <v>52</v>
      </c>
      <c r="L38" s="8" t="s">
        <v>52</v>
      </c>
      <c r="M38" s="8" t="s">
        <v>52</v>
      </c>
      <c r="N38" s="8" t="s">
        <v>52</v>
      </c>
      <c r="O38" s="8" t="s">
        <v>52</v>
      </c>
      <c r="P38" s="8" t="s">
        <v>52</v>
      </c>
      <c r="Q38" s="8">
        <v>4994.310144</v>
      </c>
      <c r="R38" s="8">
        <v>2183.4383360000002</v>
      </c>
      <c r="S38" s="8">
        <v>2620.362752</v>
      </c>
      <c r="T38" s="8" t="s">
        <v>52</v>
      </c>
      <c r="U38" s="8" t="s">
        <v>52</v>
      </c>
      <c r="V38" s="8" t="s">
        <v>52</v>
      </c>
      <c r="W38" s="8" t="s">
        <v>52</v>
      </c>
      <c r="X38" s="8" t="s">
        <v>52</v>
      </c>
      <c r="Y38" s="8" t="s">
        <v>52</v>
      </c>
      <c r="Z38" s="8" t="s">
        <v>52</v>
      </c>
      <c r="AA38" s="8" t="s">
        <v>52</v>
      </c>
      <c r="AB38" s="8" t="s">
        <v>52</v>
      </c>
      <c r="AC38" s="8" t="s">
        <v>52</v>
      </c>
      <c r="AD38" s="8" t="s">
        <v>52</v>
      </c>
      <c r="AE38" s="8" t="s">
        <v>52</v>
      </c>
    </row>
    <row r="39" spans="1:31" x14ac:dyDescent="0.3">
      <c r="A39" s="5" t="s">
        <v>186</v>
      </c>
      <c r="B39" s="8">
        <v>1242.3905279999999</v>
      </c>
      <c r="C39" s="8">
        <v>34334.900223999997</v>
      </c>
      <c r="D39" s="8">
        <v>15250.59584</v>
      </c>
      <c r="E39" s="8">
        <v>8081.7029119999997</v>
      </c>
      <c r="F39" s="8">
        <v>8051.8635519999998</v>
      </c>
      <c r="G39" s="8">
        <v>9324.089344</v>
      </c>
      <c r="H39" s="8">
        <v>7035.1380480000007</v>
      </c>
      <c r="I39" s="8">
        <v>72.794112000000013</v>
      </c>
      <c r="J39" s="8" t="s">
        <v>52</v>
      </c>
      <c r="K39" s="8" t="s">
        <v>52</v>
      </c>
      <c r="L39" s="8" t="s">
        <v>52</v>
      </c>
      <c r="M39" s="8" t="s">
        <v>52</v>
      </c>
      <c r="N39" s="8" t="s">
        <v>52</v>
      </c>
      <c r="O39" s="8" t="s">
        <v>52</v>
      </c>
      <c r="P39" s="8" t="s">
        <v>52</v>
      </c>
      <c r="Q39" s="8">
        <v>4995.1293439999999</v>
      </c>
      <c r="R39" s="8">
        <v>2151.6328960000001</v>
      </c>
      <c r="S39" s="8">
        <v>2177.327104</v>
      </c>
      <c r="T39" s="8" t="s">
        <v>52</v>
      </c>
      <c r="U39" s="8" t="s">
        <v>52</v>
      </c>
      <c r="V39" s="8" t="s">
        <v>52</v>
      </c>
      <c r="W39" s="8" t="s">
        <v>52</v>
      </c>
      <c r="X39" s="8" t="s">
        <v>52</v>
      </c>
      <c r="Y39" s="8" t="s">
        <v>52</v>
      </c>
      <c r="Z39" s="8" t="s">
        <v>52</v>
      </c>
      <c r="AA39" s="8" t="s">
        <v>52</v>
      </c>
      <c r="AB39" s="8" t="s">
        <v>52</v>
      </c>
      <c r="AC39" s="8" t="s">
        <v>52</v>
      </c>
      <c r="AD39" s="8" t="s">
        <v>52</v>
      </c>
      <c r="AE39" s="8" t="s">
        <v>52</v>
      </c>
    </row>
    <row r="40" spans="1:31" x14ac:dyDescent="0.3">
      <c r="A40" s="5" t="s">
        <v>187</v>
      </c>
      <c r="B40" s="8">
        <v>257.46227199999998</v>
      </c>
      <c r="C40" s="8">
        <v>10567.692288</v>
      </c>
      <c r="D40" s="8">
        <v>1423.3763839999999</v>
      </c>
      <c r="E40" s="8">
        <v>1341.698048</v>
      </c>
      <c r="F40" s="8">
        <v>1467.7483520000001</v>
      </c>
      <c r="G40" s="8">
        <v>2720.370688</v>
      </c>
      <c r="H40" s="8">
        <v>1216.7782400000001</v>
      </c>
      <c r="I40" s="8">
        <v>70.402048000000008</v>
      </c>
      <c r="J40" s="8" t="s">
        <v>52</v>
      </c>
      <c r="K40" s="8" t="s">
        <v>52</v>
      </c>
      <c r="L40" s="8" t="s">
        <v>52</v>
      </c>
      <c r="M40" s="8" t="s">
        <v>52</v>
      </c>
      <c r="N40" s="8" t="s">
        <v>52</v>
      </c>
      <c r="O40" s="8" t="s">
        <v>52</v>
      </c>
      <c r="P40" s="8" t="s">
        <v>52</v>
      </c>
      <c r="Q40" s="8">
        <v>920.83404800000005</v>
      </c>
      <c r="R40" s="8">
        <v>903.278592</v>
      </c>
      <c r="S40" s="8">
        <v>896.25804800000003</v>
      </c>
      <c r="T40" s="8" t="s">
        <v>52</v>
      </c>
      <c r="U40" s="8" t="s">
        <v>52</v>
      </c>
      <c r="V40" s="8" t="s">
        <v>52</v>
      </c>
      <c r="W40" s="8" t="s">
        <v>52</v>
      </c>
      <c r="X40" s="8" t="s">
        <v>52</v>
      </c>
      <c r="Y40" s="8" t="s">
        <v>52</v>
      </c>
      <c r="Z40" s="8" t="s">
        <v>52</v>
      </c>
      <c r="AA40" s="8" t="s">
        <v>52</v>
      </c>
      <c r="AB40" s="8" t="s">
        <v>52</v>
      </c>
      <c r="AC40" s="8" t="s">
        <v>52</v>
      </c>
      <c r="AD40" s="8" t="s">
        <v>52</v>
      </c>
      <c r="AE40" s="8" t="s">
        <v>52</v>
      </c>
    </row>
    <row r="41" spans="1:31" x14ac:dyDescent="0.3">
      <c r="A41" s="5" t="s">
        <v>188</v>
      </c>
      <c r="B41" s="8">
        <v>770.31014400000004</v>
      </c>
      <c r="C41" s="8">
        <v>34110.771200000003</v>
      </c>
      <c r="D41" s="8">
        <v>6028.9966080000004</v>
      </c>
      <c r="E41" s="8">
        <v>8099.3566720000008</v>
      </c>
      <c r="F41" s="8">
        <v>8041.6808959999998</v>
      </c>
      <c r="G41" s="8">
        <v>7797.3217279999999</v>
      </c>
      <c r="H41" s="8">
        <v>3046.9283839999998</v>
      </c>
      <c r="I41" s="8">
        <v>70.221823999999998</v>
      </c>
      <c r="J41" s="8" t="s">
        <v>52</v>
      </c>
      <c r="K41" s="8" t="s">
        <v>52</v>
      </c>
      <c r="L41" s="8" t="s">
        <v>52</v>
      </c>
      <c r="M41" s="8" t="s">
        <v>52</v>
      </c>
      <c r="N41" s="8" t="s">
        <v>52</v>
      </c>
      <c r="O41" s="8" t="s">
        <v>52</v>
      </c>
      <c r="P41" s="8" t="s">
        <v>52</v>
      </c>
      <c r="Q41" s="8">
        <v>4995.5184639999998</v>
      </c>
      <c r="R41" s="8">
        <v>1409.6261119999999</v>
      </c>
      <c r="S41" s="8">
        <v>1392.177152</v>
      </c>
      <c r="T41" s="8" t="s">
        <v>52</v>
      </c>
      <c r="U41" s="8" t="s">
        <v>52</v>
      </c>
      <c r="V41" s="8" t="s">
        <v>52</v>
      </c>
      <c r="W41" s="8" t="s">
        <v>52</v>
      </c>
      <c r="X41" s="8" t="s">
        <v>52</v>
      </c>
      <c r="Y41" s="8" t="s">
        <v>52</v>
      </c>
      <c r="Z41" s="8" t="s">
        <v>52</v>
      </c>
      <c r="AA41" s="8" t="s">
        <v>52</v>
      </c>
      <c r="AB41" s="8" t="s">
        <v>52</v>
      </c>
      <c r="AC41" s="8" t="s">
        <v>52</v>
      </c>
      <c r="AD41" s="8" t="s">
        <v>52</v>
      </c>
      <c r="AE41" s="8" t="s">
        <v>52</v>
      </c>
    </row>
    <row r="42" spans="1:31" x14ac:dyDescent="0.3">
      <c r="A42" s="5" t="s">
        <v>189</v>
      </c>
      <c r="B42" s="8">
        <v>762.46220800000003</v>
      </c>
      <c r="C42" s="8">
        <v>22274.326528000001</v>
      </c>
      <c r="D42" s="8">
        <v>8089.8867200000004</v>
      </c>
      <c r="E42" s="8">
        <v>8138.0311040000006</v>
      </c>
      <c r="F42" s="8">
        <v>8118.6775040000002</v>
      </c>
      <c r="G42" s="8">
        <v>8294.0354560000014</v>
      </c>
      <c r="H42" s="8">
        <v>3884.195839999999</v>
      </c>
      <c r="I42" s="8">
        <v>71.876608000000004</v>
      </c>
      <c r="J42" s="8" t="s">
        <v>52</v>
      </c>
      <c r="K42" s="8" t="s">
        <v>52</v>
      </c>
      <c r="L42" s="8" t="s">
        <v>52</v>
      </c>
      <c r="M42" s="8" t="s">
        <v>52</v>
      </c>
      <c r="N42" s="8" t="s">
        <v>52</v>
      </c>
      <c r="O42" s="8" t="s">
        <v>52</v>
      </c>
      <c r="P42" s="8" t="s">
        <v>52</v>
      </c>
      <c r="Q42" s="8">
        <v>5005.6601600000004</v>
      </c>
      <c r="R42" s="8">
        <v>1685.721088</v>
      </c>
      <c r="S42" s="8">
        <v>1602.6542079999999</v>
      </c>
      <c r="T42" s="8" t="s">
        <v>52</v>
      </c>
      <c r="U42" s="8" t="s">
        <v>52</v>
      </c>
      <c r="V42" s="8" t="s">
        <v>52</v>
      </c>
      <c r="W42" s="8" t="s">
        <v>52</v>
      </c>
      <c r="X42" s="8" t="s">
        <v>52</v>
      </c>
      <c r="Y42" s="8" t="s">
        <v>52</v>
      </c>
      <c r="Z42" s="8" t="s">
        <v>52</v>
      </c>
      <c r="AA42" s="8" t="s">
        <v>52</v>
      </c>
      <c r="AB42" s="8" t="s">
        <v>52</v>
      </c>
      <c r="AC42" s="8" t="s">
        <v>52</v>
      </c>
      <c r="AD42" s="8" t="s">
        <v>52</v>
      </c>
      <c r="AE42" s="8" t="s">
        <v>52</v>
      </c>
    </row>
    <row r="43" spans="1:31" x14ac:dyDescent="0.3">
      <c r="A43" s="5" t="s">
        <v>190</v>
      </c>
      <c r="B43" s="8">
        <v>1325.9816960000001</v>
      </c>
      <c r="C43" s="8">
        <v>32152.645632</v>
      </c>
      <c r="D43" s="8">
        <v>11007.586304</v>
      </c>
      <c r="E43" s="8">
        <v>8113.9056639999999</v>
      </c>
      <c r="F43" s="8">
        <v>8067.4283519999999</v>
      </c>
      <c r="G43" s="8">
        <v>8145.6291839999994</v>
      </c>
      <c r="H43" s="8">
        <v>4218.4622080000008</v>
      </c>
      <c r="I43" s="8">
        <v>70.365183999999999</v>
      </c>
      <c r="J43" s="8" t="s">
        <v>52</v>
      </c>
      <c r="K43" s="8" t="s">
        <v>52</v>
      </c>
      <c r="L43" s="8" t="s">
        <v>52</v>
      </c>
      <c r="M43" s="8" t="s">
        <v>52</v>
      </c>
      <c r="N43" s="8" t="s">
        <v>52</v>
      </c>
      <c r="O43" s="8" t="s">
        <v>52</v>
      </c>
      <c r="P43" s="8" t="s">
        <v>52</v>
      </c>
      <c r="Q43" s="8">
        <v>5007.6139519999997</v>
      </c>
      <c r="R43" s="8">
        <v>1497.3951999999999</v>
      </c>
      <c r="S43" s="8">
        <v>1640.620032</v>
      </c>
      <c r="T43" s="8" t="s">
        <v>52</v>
      </c>
      <c r="U43" s="8" t="s">
        <v>52</v>
      </c>
      <c r="V43" s="8" t="s">
        <v>52</v>
      </c>
      <c r="W43" s="8" t="s">
        <v>52</v>
      </c>
      <c r="X43" s="8" t="s">
        <v>52</v>
      </c>
      <c r="Y43" s="8" t="s">
        <v>52</v>
      </c>
      <c r="Z43" s="8" t="s">
        <v>52</v>
      </c>
      <c r="AA43" s="8" t="s">
        <v>52</v>
      </c>
      <c r="AB43" s="8" t="s">
        <v>52</v>
      </c>
      <c r="AC43" s="8" t="s">
        <v>52</v>
      </c>
      <c r="AD43" s="8" t="s">
        <v>52</v>
      </c>
      <c r="AE43" s="8" t="s">
        <v>52</v>
      </c>
    </row>
    <row r="44" spans="1:31" x14ac:dyDescent="0.3">
      <c r="A44" s="5" t="s">
        <v>191</v>
      </c>
      <c r="B44" s="8">
        <v>1216.6840319999999</v>
      </c>
      <c r="C44" s="8">
        <v>32984.711168000002</v>
      </c>
      <c r="D44" s="8">
        <v>14031.036416000001</v>
      </c>
      <c r="E44" s="8">
        <v>8103.3011200000001</v>
      </c>
      <c r="F44" s="8">
        <v>8056.4838399999999</v>
      </c>
      <c r="G44" s="8">
        <v>8353.9599359999993</v>
      </c>
      <c r="H44" s="8">
        <v>4766.3104000000003</v>
      </c>
      <c r="I44" s="8">
        <v>70.590463999999997</v>
      </c>
      <c r="J44" s="8" t="s">
        <v>52</v>
      </c>
      <c r="K44" s="8" t="s">
        <v>52</v>
      </c>
      <c r="L44" s="8" t="s">
        <v>52</v>
      </c>
      <c r="M44" s="8" t="s">
        <v>52</v>
      </c>
      <c r="N44" s="8" t="s">
        <v>52</v>
      </c>
      <c r="O44" s="8" t="s">
        <v>52</v>
      </c>
      <c r="P44" s="8" t="s">
        <v>52</v>
      </c>
      <c r="Q44" s="8">
        <v>5015.0481920000002</v>
      </c>
      <c r="R44" s="8">
        <v>1685.0821120000001</v>
      </c>
      <c r="S44" s="8">
        <v>1653.8296319999999</v>
      </c>
      <c r="T44" s="8" t="s">
        <v>52</v>
      </c>
      <c r="U44" s="8" t="s">
        <v>52</v>
      </c>
      <c r="V44" s="8" t="s">
        <v>52</v>
      </c>
      <c r="W44" s="8" t="s">
        <v>52</v>
      </c>
      <c r="X44" s="8" t="s">
        <v>52</v>
      </c>
      <c r="Y44" s="8" t="s">
        <v>52</v>
      </c>
      <c r="Z44" s="8" t="s">
        <v>52</v>
      </c>
      <c r="AA44" s="8" t="s">
        <v>52</v>
      </c>
      <c r="AB44" s="8" t="s">
        <v>52</v>
      </c>
      <c r="AC44" s="8" t="s">
        <v>52</v>
      </c>
      <c r="AD44" s="8" t="s">
        <v>52</v>
      </c>
      <c r="AE44" s="8" t="s">
        <v>52</v>
      </c>
    </row>
    <row r="45" spans="1:31" x14ac:dyDescent="0.3">
      <c r="A45" s="5" t="s">
        <v>192</v>
      </c>
      <c r="B45" s="8">
        <v>1202.7289599999999</v>
      </c>
      <c r="C45" s="8">
        <v>32644.689920000001</v>
      </c>
      <c r="D45" s="8">
        <v>14357.245951999999</v>
      </c>
      <c r="E45" s="8">
        <v>8073.8795520000003</v>
      </c>
      <c r="F45" s="8">
        <v>8133.69344</v>
      </c>
      <c r="G45" s="8">
        <v>8226.3695360000002</v>
      </c>
      <c r="H45" s="8">
        <v>5316.7841279999993</v>
      </c>
      <c r="I45" s="8">
        <v>70.656000000000006</v>
      </c>
      <c r="J45" s="8" t="s">
        <v>52</v>
      </c>
      <c r="K45" s="8" t="s">
        <v>52</v>
      </c>
      <c r="L45" s="8" t="s">
        <v>52</v>
      </c>
      <c r="M45" s="8" t="s">
        <v>52</v>
      </c>
      <c r="N45" s="8" t="s">
        <v>52</v>
      </c>
      <c r="O45" s="8" t="s">
        <v>52</v>
      </c>
      <c r="P45" s="8" t="s">
        <v>52</v>
      </c>
      <c r="Q45" s="8">
        <v>4998.434816</v>
      </c>
      <c r="R45" s="8">
        <v>1624.756224</v>
      </c>
      <c r="S45" s="8">
        <v>1603.178496</v>
      </c>
      <c r="T45" s="8" t="s">
        <v>52</v>
      </c>
      <c r="U45" s="8" t="s">
        <v>52</v>
      </c>
      <c r="V45" s="8" t="s">
        <v>52</v>
      </c>
      <c r="W45" s="8" t="s">
        <v>52</v>
      </c>
      <c r="X45" s="8" t="s">
        <v>52</v>
      </c>
      <c r="Y45" s="8" t="s">
        <v>52</v>
      </c>
      <c r="Z45" s="8" t="s">
        <v>52</v>
      </c>
      <c r="AA45" s="8" t="s">
        <v>52</v>
      </c>
      <c r="AB45" s="8" t="s">
        <v>52</v>
      </c>
      <c r="AC45" s="8" t="s">
        <v>52</v>
      </c>
      <c r="AD45" s="8" t="s">
        <v>52</v>
      </c>
      <c r="AE45" s="8" t="s">
        <v>52</v>
      </c>
    </row>
    <row r="46" spans="1:31" x14ac:dyDescent="0.3">
      <c r="A46" s="5" t="s">
        <v>193</v>
      </c>
      <c r="B46" s="8">
        <v>1119.8914560000001</v>
      </c>
      <c r="C46" s="8">
        <v>32558.227456000001</v>
      </c>
      <c r="D46" s="8">
        <v>13676.261376</v>
      </c>
      <c r="E46" s="8">
        <v>8089.7351679999992</v>
      </c>
      <c r="F46" s="8">
        <v>8073.2815360000004</v>
      </c>
      <c r="G46" s="8">
        <v>8231.0553600000003</v>
      </c>
      <c r="H46" s="8">
        <v>5725.3642239999999</v>
      </c>
      <c r="I46" s="8">
        <v>70.553600000000003</v>
      </c>
      <c r="J46" s="8" t="s">
        <v>52</v>
      </c>
      <c r="K46" s="8" t="s">
        <v>52</v>
      </c>
      <c r="L46" s="8" t="s">
        <v>52</v>
      </c>
      <c r="M46" s="8" t="s">
        <v>52</v>
      </c>
      <c r="N46" s="8" t="s">
        <v>52</v>
      </c>
      <c r="O46" s="8" t="s">
        <v>52</v>
      </c>
      <c r="P46" s="8" t="s">
        <v>52</v>
      </c>
      <c r="Q46" s="8">
        <v>5004.2675200000003</v>
      </c>
      <c r="R46" s="8">
        <v>1602.39616</v>
      </c>
      <c r="S46" s="8">
        <v>1624.39168</v>
      </c>
      <c r="T46" s="8" t="s">
        <v>52</v>
      </c>
      <c r="U46" s="8" t="s">
        <v>52</v>
      </c>
      <c r="V46" s="8" t="s">
        <v>52</v>
      </c>
      <c r="W46" s="8" t="s">
        <v>52</v>
      </c>
      <c r="X46" s="8" t="s">
        <v>52</v>
      </c>
      <c r="Y46" s="8" t="s">
        <v>52</v>
      </c>
      <c r="Z46" s="8" t="s">
        <v>52</v>
      </c>
      <c r="AA46" s="8" t="s">
        <v>52</v>
      </c>
      <c r="AB46" s="8" t="s">
        <v>52</v>
      </c>
      <c r="AC46" s="8" t="s">
        <v>52</v>
      </c>
      <c r="AD46" s="8" t="s">
        <v>52</v>
      </c>
      <c r="AE46" s="8" t="s">
        <v>52</v>
      </c>
    </row>
    <row r="47" spans="1:31" x14ac:dyDescent="0.3">
      <c r="A47" t="s">
        <v>194</v>
      </c>
      <c r="B47">
        <v>974.81113600000003</v>
      </c>
      <c r="C47">
        <v>32730.251263999999</v>
      </c>
      <c r="D47">
        <v>13209.808896</v>
      </c>
      <c r="E47">
        <v>8093.4502400000001</v>
      </c>
      <c r="F47">
        <v>8103.645184</v>
      </c>
      <c r="G47">
        <v>8370.5036799999998</v>
      </c>
      <c r="H47">
        <v>6235.4718720000001</v>
      </c>
      <c r="I47">
        <v>72.777727999999996</v>
      </c>
      <c r="J47" t="s">
        <v>52</v>
      </c>
      <c r="K47" t="s">
        <v>52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>
        <v>5001.8303999999998</v>
      </c>
      <c r="R47">
        <v>1727.975424</v>
      </c>
      <c r="S47">
        <v>1640.697856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</row>
    <row r="48" spans="1:31" x14ac:dyDescent="0.3">
      <c r="A48" t="s">
        <v>195</v>
      </c>
      <c r="B48">
        <v>828.63308800000004</v>
      </c>
      <c r="C48">
        <v>32110.501887999999</v>
      </c>
      <c r="D48">
        <v>15181.017088000001</v>
      </c>
      <c r="E48">
        <v>8096.4321279999986</v>
      </c>
      <c r="F48">
        <v>8065.0076159999999</v>
      </c>
      <c r="G48">
        <v>8211.0996479999994</v>
      </c>
      <c r="H48">
        <v>6343.8807039999992</v>
      </c>
      <c r="I48">
        <v>70.348799999999997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>
        <v>4996.3827199999996</v>
      </c>
      <c r="R48">
        <v>1610.903552</v>
      </c>
      <c r="S48">
        <v>1603.8133760000001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</row>
    <row r="49" spans="1:31" x14ac:dyDescent="0.3">
      <c r="A49" t="s">
        <v>196</v>
      </c>
      <c r="B49">
        <v>914.80473600000005</v>
      </c>
      <c r="C49">
        <v>32665.047040000001</v>
      </c>
      <c r="D49">
        <v>14933.745664</v>
      </c>
      <c r="E49">
        <v>8071.0942720000003</v>
      </c>
      <c r="F49">
        <v>8054.3211520000004</v>
      </c>
      <c r="G49">
        <v>8257.490944000001</v>
      </c>
      <c r="H49">
        <v>6642.6470400000007</v>
      </c>
      <c r="I49">
        <v>70.901759999999996</v>
      </c>
      <c r="J49" t="s">
        <v>52</v>
      </c>
      <c r="K49" t="s">
        <v>52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>
        <v>4993.6998400000002</v>
      </c>
      <c r="R49">
        <v>1687.6789759999999</v>
      </c>
      <c r="S49">
        <v>1576.112128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</row>
    <row r="50" spans="1:31" x14ac:dyDescent="0.3">
      <c r="A50" t="s">
        <v>197</v>
      </c>
      <c r="B50">
        <v>1191.0963200000001</v>
      </c>
      <c r="C50">
        <v>22556.188672</v>
      </c>
      <c r="D50">
        <v>14994.944</v>
      </c>
      <c r="E50">
        <v>8127.4839039999997</v>
      </c>
      <c r="F50">
        <v>8060.2767359999998</v>
      </c>
      <c r="G50">
        <v>8252.8256000000001</v>
      </c>
      <c r="H50">
        <v>7499.8046719999993</v>
      </c>
      <c r="I50">
        <v>70.455296000000004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>
        <v>5012.5455359999996</v>
      </c>
      <c r="R50">
        <v>1529.9624960000001</v>
      </c>
      <c r="S50">
        <v>1710.3175679999999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</row>
    <row r="51" spans="1:31" x14ac:dyDescent="0.3">
      <c r="A51" t="s">
        <v>206</v>
      </c>
      <c r="B51">
        <v>248.06604799999999</v>
      </c>
      <c r="C51">
        <v>5687.3943039999995</v>
      </c>
      <c r="D51">
        <v>1370.4929279999999</v>
      </c>
      <c r="E51">
        <v>2517.9791359999999</v>
      </c>
      <c r="F51">
        <v>2238.324736</v>
      </c>
      <c r="G51">
        <v>2537.6194559999999</v>
      </c>
      <c r="H51">
        <v>845.4225919999999</v>
      </c>
      <c r="I51">
        <v>66.662400000000005</v>
      </c>
      <c r="J51">
        <v>1097.33888</v>
      </c>
      <c r="K51">
        <v>1998.8602880000001</v>
      </c>
      <c r="L51">
        <v>2591.1951359999998</v>
      </c>
      <c r="M51">
        <v>1370.4929279999999</v>
      </c>
      <c r="N51" t="s">
        <v>52</v>
      </c>
      <c r="O51">
        <v>2517.9791359999999</v>
      </c>
      <c r="P51">
        <v>2238.324736</v>
      </c>
      <c r="Q51">
        <v>1040.5437440000001</v>
      </c>
      <c r="R51">
        <v>691.10579199999995</v>
      </c>
      <c r="S51">
        <v>805.96992</v>
      </c>
      <c r="T51">
        <v>150.532096</v>
      </c>
      <c r="U51">
        <v>143.40096</v>
      </c>
      <c r="V51">
        <v>130.53542400000001</v>
      </c>
      <c r="W51">
        <v>139.44012799999999</v>
      </c>
      <c r="X51">
        <v>132.378624</v>
      </c>
      <c r="Y51">
        <v>149.13535999999999</v>
      </c>
      <c r="Z51">
        <v>10.973184</v>
      </c>
      <c r="AA51">
        <v>10.719232</v>
      </c>
      <c r="AB51">
        <v>10.764288000000001</v>
      </c>
      <c r="AC51">
        <v>12.640256000000001</v>
      </c>
      <c r="AD51">
        <v>11.030528</v>
      </c>
      <c r="AE51">
        <v>10.534912</v>
      </c>
    </row>
    <row r="52" spans="1:31" x14ac:dyDescent="0.3">
      <c r="A52" t="s">
        <v>207</v>
      </c>
      <c r="B52">
        <v>617.36550399999999</v>
      </c>
      <c r="C52">
        <v>12878.295039999999</v>
      </c>
      <c r="D52">
        <v>3466.6332160000002</v>
      </c>
      <c r="E52">
        <v>5549.8670080000002</v>
      </c>
      <c r="F52">
        <v>5412.1922560000003</v>
      </c>
      <c r="G52">
        <v>2354.5937920000001</v>
      </c>
      <c r="H52">
        <v>831.89760000000001</v>
      </c>
      <c r="I52">
        <v>66.277376000000004</v>
      </c>
      <c r="J52">
        <v>10441.261055999999</v>
      </c>
      <c r="K52">
        <v>1326.288896</v>
      </c>
      <c r="L52">
        <v>1110.7450879999999</v>
      </c>
      <c r="M52">
        <v>3466.6332160000002</v>
      </c>
      <c r="N52" t="s">
        <v>52</v>
      </c>
      <c r="O52">
        <v>5549.8670080000002</v>
      </c>
      <c r="P52">
        <v>5412.1922560000003</v>
      </c>
      <c r="Q52">
        <v>913.69881599999997</v>
      </c>
      <c r="R52">
        <v>679.46905600000002</v>
      </c>
      <c r="S52">
        <v>761.42592000000002</v>
      </c>
      <c r="T52">
        <v>134.59865600000001</v>
      </c>
      <c r="U52">
        <v>142.79884799999999</v>
      </c>
      <c r="V52">
        <v>129.81043199999999</v>
      </c>
      <c r="W52">
        <v>144.83865599999999</v>
      </c>
      <c r="X52">
        <v>133.47225599999999</v>
      </c>
      <c r="Y52">
        <v>146.37875199999999</v>
      </c>
      <c r="Z52">
        <v>12.419072</v>
      </c>
      <c r="AA52">
        <v>11.4688</v>
      </c>
      <c r="AB52">
        <v>10.805248000000001</v>
      </c>
      <c r="AC52">
        <v>10.293248</v>
      </c>
      <c r="AD52">
        <v>11.014144</v>
      </c>
      <c r="AE52">
        <v>10.276864</v>
      </c>
    </row>
    <row r="53" spans="1:31" x14ac:dyDescent="0.3">
      <c r="A53" t="s">
        <v>208</v>
      </c>
      <c r="B53">
        <v>1117.32736</v>
      </c>
      <c r="C53">
        <v>23347.027968000002</v>
      </c>
      <c r="D53">
        <v>3779.3505279999999</v>
      </c>
      <c r="E53">
        <v>6590.4066560000001</v>
      </c>
      <c r="F53">
        <v>5852.6924799999997</v>
      </c>
      <c r="G53">
        <v>2414.333952</v>
      </c>
      <c r="H53">
        <v>821.72723199999996</v>
      </c>
      <c r="I53">
        <v>65.871871999999996</v>
      </c>
      <c r="J53">
        <v>10454.728703999999</v>
      </c>
      <c r="K53">
        <v>11697.377280000001</v>
      </c>
      <c r="L53">
        <v>1194.9219840000001</v>
      </c>
      <c r="M53">
        <v>3779.3505279999999</v>
      </c>
      <c r="N53" t="s">
        <v>52</v>
      </c>
      <c r="O53">
        <v>6590.4066560000001</v>
      </c>
      <c r="P53">
        <v>5852.6924799999997</v>
      </c>
      <c r="Q53">
        <v>965.82860800000003</v>
      </c>
      <c r="R53">
        <v>710.84851200000003</v>
      </c>
      <c r="S53">
        <v>737.65683200000001</v>
      </c>
      <c r="T53">
        <v>137.773056</v>
      </c>
      <c r="U53">
        <v>137.78124800000001</v>
      </c>
      <c r="V53">
        <v>132.73497599999999</v>
      </c>
      <c r="W53">
        <v>143.36000000000001</v>
      </c>
      <c r="X53">
        <v>131.81337600000001</v>
      </c>
      <c r="Y53">
        <v>138.26457600000001</v>
      </c>
      <c r="Z53">
        <v>12.43136</v>
      </c>
      <c r="AA53">
        <v>11.362304</v>
      </c>
      <c r="AB53">
        <v>10.756095999999999</v>
      </c>
      <c r="AC53">
        <v>10.289152</v>
      </c>
      <c r="AD53">
        <v>10.752000000000001</v>
      </c>
      <c r="AE53">
        <v>10.28096</v>
      </c>
    </row>
    <row r="54" spans="1:31" x14ac:dyDescent="0.3">
      <c r="A54" t="s">
        <v>209</v>
      </c>
      <c r="B54">
        <v>1928.6630399999999</v>
      </c>
      <c r="C54">
        <v>13524.185088</v>
      </c>
      <c r="D54">
        <v>5311.7132799999999</v>
      </c>
      <c r="E54">
        <v>8192.7004159999997</v>
      </c>
      <c r="F54">
        <v>6418.4115199999997</v>
      </c>
      <c r="G54">
        <v>2412.9822719999997</v>
      </c>
      <c r="H54">
        <v>865.35372799999993</v>
      </c>
      <c r="I54">
        <v>66.248704000000004</v>
      </c>
      <c r="J54">
        <v>1382.7153920000001</v>
      </c>
      <c r="K54">
        <v>10457.223168</v>
      </c>
      <c r="L54">
        <v>1684.2465279999999</v>
      </c>
      <c r="M54">
        <v>5311.7132799999999</v>
      </c>
      <c r="N54" t="s">
        <v>52</v>
      </c>
      <c r="O54">
        <v>8192.7004159999997</v>
      </c>
      <c r="P54">
        <v>6418.4115199999997</v>
      </c>
      <c r="Q54">
        <v>933.515264</v>
      </c>
      <c r="R54">
        <v>712.02406399999995</v>
      </c>
      <c r="S54">
        <v>767.44294400000001</v>
      </c>
      <c r="T54">
        <v>147.45190400000001</v>
      </c>
      <c r="U54">
        <v>155.3408</v>
      </c>
      <c r="V54">
        <v>140.57472000000001</v>
      </c>
      <c r="W54">
        <v>143.28217599999999</v>
      </c>
      <c r="X54">
        <v>138.661888</v>
      </c>
      <c r="Y54">
        <v>140.04223999999999</v>
      </c>
      <c r="Z54">
        <v>12.47232</v>
      </c>
      <c r="AA54">
        <v>11.399168</v>
      </c>
      <c r="AB54">
        <v>10.752000000000001</v>
      </c>
      <c r="AC54">
        <v>10.285056000000001</v>
      </c>
      <c r="AD54">
        <v>10.764288000000001</v>
      </c>
      <c r="AE54">
        <v>10.575872</v>
      </c>
    </row>
    <row r="55" spans="1:31" x14ac:dyDescent="0.3">
      <c r="A55" t="s">
        <v>210</v>
      </c>
      <c r="B55">
        <v>984.15820799999995</v>
      </c>
      <c r="C55">
        <v>13427.732480000001</v>
      </c>
      <c r="D55">
        <v>4647.5141119999998</v>
      </c>
      <c r="E55">
        <v>8193.0977280000006</v>
      </c>
      <c r="F55">
        <v>8217.0224639999997</v>
      </c>
      <c r="G55">
        <v>2407.2192</v>
      </c>
      <c r="H55">
        <v>849.70291200000008</v>
      </c>
      <c r="I55">
        <v>69.259264000000002</v>
      </c>
      <c r="J55">
        <v>1211.8835200000001</v>
      </c>
      <c r="K55">
        <v>11071.184896000001</v>
      </c>
      <c r="L55">
        <v>1144.6640640000001</v>
      </c>
      <c r="M55">
        <v>4647.5141119999998</v>
      </c>
      <c r="N55" t="s">
        <v>52</v>
      </c>
      <c r="O55">
        <v>8193.0977280000006</v>
      </c>
      <c r="P55">
        <v>8217.0224639999997</v>
      </c>
      <c r="Q55">
        <v>1002.6803200000001</v>
      </c>
      <c r="R55">
        <v>697.23750399999994</v>
      </c>
      <c r="S55">
        <v>707.301376</v>
      </c>
      <c r="T55">
        <v>142.48345599999999</v>
      </c>
      <c r="U55">
        <v>146.19443200000001</v>
      </c>
      <c r="V55">
        <v>137.47814399999999</v>
      </c>
      <c r="W55">
        <v>140.42726400000001</v>
      </c>
      <c r="X55">
        <v>133.15686400000001</v>
      </c>
      <c r="Y55">
        <v>149.96275199999999</v>
      </c>
      <c r="Z55">
        <v>13.963264000000001</v>
      </c>
      <c r="AA55">
        <v>11.137024</v>
      </c>
      <c r="AB55">
        <v>10.752000000000001</v>
      </c>
      <c r="AC55">
        <v>12.382208</v>
      </c>
      <c r="AD55">
        <v>10.747904</v>
      </c>
      <c r="AE55">
        <v>10.276864</v>
      </c>
    </row>
    <row r="56" spans="1:31" x14ac:dyDescent="0.3">
      <c r="A56" t="s">
        <v>211</v>
      </c>
      <c r="B56">
        <v>1174.441984</v>
      </c>
      <c r="C56">
        <v>13992.558591999999</v>
      </c>
      <c r="D56">
        <v>6656.7987199999998</v>
      </c>
      <c r="E56">
        <v>8173.5106560000004</v>
      </c>
      <c r="F56">
        <v>8170.397696</v>
      </c>
      <c r="G56">
        <v>2553.6348159999998</v>
      </c>
      <c r="H56">
        <v>850.874368</v>
      </c>
      <c r="I56">
        <v>66.015232000000012</v>
      </c>
      <c r="J56">
        <v>11148.619776</v>
      </c>
      <c r="K56">
        <v>1164.279808</v>
      </c>
      <c r="L56">
        <v>1679.6590080000001</v>
      </c>
      <c r="M56">
        <v>6656.7987199999998</v>
      </c>
      <c r="N56" t="s">
        <v>52</v>
      </c>
      <c r="O56">
        <v>8173.5106560000004</v>
      </c>
      <c r="P56">
        <v>8170.397696</v>
      </c>
      <c r="Q56">
        <v>1046.4501760000001</v>
      </c>
      <c r="R56">
        <v>737.82476799999995</v>
      </c>
      <c r="S56">
        <v>769.359872</v>
      </c>
      <c r="T56">
        <v>144.60928000000001</v>
      </c>
      <c r="U56">
        <v>140.529664</v>
      </c>
      <c r="V56">
        <v>133.86137600000001</v>
      </c>
      <c r="W56">
        <v>150.167552</v>
      </c>
      <c r="X56">
        <v>136.97433599999999</v>
      </c>
      <c r="Y56">
        <v>144.73215999999999</v>
      </c>
      <c r="Z56">
        <v>12.537856</v>
      </c>
      <c r="AA56">
        <v>11.378688</v>
      </c>
      <c r="AB56">
        <v>10.764288000000001</v>
      </c>
      <c r="AC56">
        <v>10.289152</v>
      </c>
      <c r="AD56">
        <v>10.752000000000001</v>
      </c>
      <c r="AE56">
        <v>10.293248</v>
      </c>
    </row>
    <row r="57" spans="1:31" x14ac:dyDescent="0.3">
      <c r="A57" t="s">
        <v>212</v>
      </c>
      <c r="B57">
        <v>1063.3175040000001</v>
      </c>
      <c r="C57">
        <v>13943.840767999998</v>
      </c>
      <c r="D57">
        <v>6951.0881280000003</v>
      </c>
      <c r="E57">
        <v>8154.7632639999993</v>
      </c>
      <c r="F57">
        <v>8059.0069759999997</v>
      </c>
      <c r="G57">
        <v>2484.8752640000002</v>
      </c>
      <c r="H57">
        <v>1075.142656</v>
      </c>
      <c r="I57">
        <v>66.416640000000001</v>
      </c>
      <c r="J57">
        <v>1267.56864</v>
      </c>
      <c r="K57">
        <v>10958.729216</v>
      </c>
      <c r="L57">
        <v>1717.5429119999999</v>
      </c>
      <c r="M57">
        <v>6951.0881280000003</v>
      </c>
      <c r="N57" t="s">
        <v>52</v>
      </c>
      <c r="O57">
        <v>8154.7632639999993</v>
      </c>
      <c r="P57">
        <v>8059.0069759999997</v>
      </c>
      <c r="Q57">
        <v>995.241984</v>
      </c>
      <c r="R57">
        <v>718.69235200000003</v>
      </c>
      <c r="S57">
        <v>770.94092799999999</v>
      </c>
      <c r="T57">
        <v>144.72396800000001</v>
      </c>
      <c r="U57">
        <v>143.52384000000001</v>
      </c>
      <c r="V57">
        <v>226.00908799999999</v>
      </c>
      <c r="W57">
        <v>138.86259200000001</v>
      </c>
      <c r="X57">
        <v>131.76422400000001</v>
      </c>
      <c r="Y57">
        <v>290.25894399999999</v>
      </c>
      <c r="Z57">
        <v>12.828671999999999</v>
      </c>
      <c r="AA57">
        <v>11.489280000000001</v>
      </c>
      <c r="AB57">
        <v>10.784768</v>
      </c>
      <c r="AC57">
        <v>10.28096</v>
      </c>
      <c r="AD57">
        <v>10.756095999999999</v>
      </c>
      <c r="AE57">
        <v>10.276864</v>
      </c>
    </row>
    <row r="58" spans="1:31" x14ac:dyDescent="0.3">
      <c r="A58" t="s">
        <v>213</v>
      </c>
      <c r="B58">
        <v>1239.8141439999999</v>
      </c>
      <c r="C58">
        <v>22898.565119999999</v>
      </c>
      <c r="D58">
        <v>7238.1931519999998</v>
      </c>
      <c r="E58">
        <v>8125.9683839999998</v>
      </c>
      <c r="F58">
        <v>8074.5226240000002</v>
      </c>
      <c r="G58">
        <v>2451.419136</v>
      </c>
      <c r="H58">
        <v>840.17561599999999</v>
      </c>
      <c r="I58">
        <v>66.08896</v>
      </c>
      <c r="J58">
        <v>10774.941696</v>
      </c>
      <c r="K58">
        <v>1693.2904960000001</v>
      </c>
      <c r="L58">
        <v>10430.332928</v>
      </c>
      <c r="M58">
        <v>7238.1931519999998</v>
      </c>
      <c r="N58" t="s">
        <v>52</v>
      </c>
      <c r="O58">
        <v>8125.9683839999998</v>
      </c>
      <c r="P58">
        <v>8074.5226240000002</v>
      </c>
      <c r="Q58">
        <v>984.79308800000001</v>
      </c>
      <c r="R58">
        <v>720.80588799999998</v>
      </c>
      <c r="S58">
        <v>745.82015999999999</v>
      </c>
      <c r="T58">
        <v>146.755584</v>
      </c>
      <c r="U58">
        <v>136.67532800000001</v>
      </c>
      <c r="V58">
        <v>137.404416</v>
      </c>
      <c r="W58">
        <v>144.203776</v>
      </c>
      <c r="X58">
        <v>134.62732800000001</v>
      </c>
      <c r="Y58">
        <v>140.509184</v>
      </c>
      <c r="Z58">
        <v>12.263424000000001</v>
      </c>
      <c r="AA58">
        <v>11.661312000000001</v>
      </c>
      <c r="AB58">
        <v>10.821631999999999</v>
      </c>
      <c r="AC58">
        <v>10.293248</v>
      </c>
      <c r="AD58">
        <v>10.760192</v>
      </c>
      <c r="AE58">
        <v>10.289152</v>
      </c>
    </row>
    <row r="59" spans="1:31" x14ac:dyDescent="0.3">
      <c r="A59" t="s">
        <v>214</v>
      </c>
      <c r="B59">
        <v>1182.482432</v>
      </c>
      <c r="C59">
        <v>32955.842559999997</v>
      </c>
      <c r="D59">
        <v>8759.4844159999993</v>
      </c>
      <c r="E59">
        <v>8135.4465280000004</v>
      </c>
      <c r="F59">
        <v>8114.4872960000002</v>
      </c>
      <c r="G59">
        <v>2448.1792</v>
      </c>
      <c r="H59">
        <v>837.63609599999995</v>
      </c>
      <c r="I59">
        <v>65.753088000000005</v>
      </c>
      <c r="J59">
        <v>10680.864767999999</v>
      </c>
      <c r="K59">
        <v>11632.72192</v>
      </c>
      <c r="L59">
        <v>10642.255872</v>
      </c>
      <c r="M59">
        <v>8759.4844159999993</v>
      </c>
      <c r="N59" t="s">
        <v>52</v>
      </c>
      <c r="O59">
        <v>8135.4465280000004</v>
      </c>
      <c r="P59">
        <v>8114.4872960000002</v>
      </c>
      <c r="Q59">
        <v>985.55084799999997</v>
      </c>
      <c r="R59">
        <v>711.10655999999994</v>
      </c>
      <c r="S59">
        <v>751.521792</v>
      </c>
      <c r="T59">
        <v>139.198464</v>
      </c>
      <c r="U59">
        <v>140.08729600000001</v>
      </c>
      <c r="V59">
        <v>148.656128</v>
      </c>
      <c r="W59">
        <v>139.055104</v>
      </c>
      <c r="X59">
        <v>137.576448</v>
      </c>
      <c r="Y59">
        <v>133.062656</v>
      </c>
      <c r="Z59">
        <v>12.32896</v>
      </c>
      <c r="AA59">
        <v>11.239424</v>
      </c>
      <c r="AB59">
        <v>10.752000000000001</v>
      </c>
      <c r="AC59">
        <v>10.276864</v>
      </c>
      <c r="AD59">
        <v>10.792960000000001</v>
      </c>
      <c r="AE59">
        <v>10.362880000000001</v>
      </c>
    </row>
    <row r="60" spans="1:31" x14ac:dyDescent="0.3">
      <c r="A60" t="s">
        <v>215</v>
      </c>
      <c r="B60">
        <v>1242.7386879999999</v>
      </c>
      <c r="C60">
        <v>22299.590656</v>
      </c>
      <c r="D60">
        <v>9047.7854719999996</v>
      </c>
      <c r="E60">
        <v>8115.8512640000008</v>
      </c>
      <c r="F60">
        <v>8120.1479680000002</v>
      </c>
      <c r="G60">
        <v>2503.6308480000002</v>
      </c>
      <c r="H60">
        <v>855.40863999999999</v>
      </c>
      <c r="I60">
        <v>66.048000000000002</v>
      </c>
      <c r="J60">
        <v>1154.39616</v>
      </c>
      <c r="K60">
        <v>10613.972992000001</v>
      </c>
      <c r="L60">
        <v>10531.221503999999</v>
      </c>
      <c r="M60">
        <v>9047.7854719999996</v>
      </c>
      <c r="N60" t="s">
        <v>52</v>
      </c>
      <c r="O60">
        <v>8115.8512640000008</v>
      </c>
      <c r="P60">
        <v>8120.1479680000002</v>
      </c>
      <c r="Q60">
        <v>1037.7052160000001</v>
      </c>
      <c r="R60">
        <v>717.76665600000001</v>
      </c>
      <c r="S60">
        <v>748.15897600000005</v>
      </c>
      <c r="T60">
        <v>137.408512</v>
      </c>
      <c r="U60">
        <v>169.81606400000001</v>
      </c>
      <c r="V60">
        <v>130.646016</v>
      </c>
      <c r="W60">
        <v>144.98611199999999</v>
      </c>
      <c r="X60">
        <v>134.69286399999999</v>
      </c>
      <c r="Y60">
        <v>137.859072</v>
      </c>
      <c r="Z60">
        <v>12.353536</v>
      </c>
      <c r="AA60">
        <v>11.476991999999999</v>
      </c>
      <c r="AB60">
        <v>10.81344</v>
      </c>
      <c r="AC60">
        <v>10.293248</v>
      </c>
      <c r="AD60">
        <v>10.768383999999999</v>
      </c>
      <c r="AE60">
        <v>10.3424</v>
      </c>
    </row>
    <row r="61" spans="1:31" x14ac:dyDescent="0.3">
      <c r="A61" t="s">
        <v>216</v>
      </c>
      <c r="B61">
        <v>1080.6108160000001</v>
      </c>
      <c r="C61">
        <v>32838.156287999998</v>
      </c>
      <c r="D61">
        <v>8011.431936</v>
      </c>
      <c r="E61">
        <v>8128.6266879999994</v>
      </c>
      <c r="F61">
        <v>8059.8794239999997</v>
      </c>
      <c r="G61">
        <v>2514.18624</v>
      </c>
      <c r="H61">
        <v>857.13715200000001</v>
      </c>
      <c r="I61">
        <v>66.318336000000002</v>
      </c>
      <c r="J61">
        <v>10503.561216</v>
      </c>
      <c r="K61">
        <v>11709.15328</v>
      </c>
      <c r="L61">
        <v>10625.441792</v>
      </c>
      <c r="M61">
        <v>8011.431936</v>
      </c>
      <c r="N61" t="s">
        <v>52</v>
      </c>
      <c r="O61">
        <v>8128.6266879999994</v>
      </c>
      <c r="P61">
        <v>8059.8794239999997</v>
      </c>
      <c r="Q61">
        <v>1020.997632</v>
      </c>
      <c r="R61">
        <v>733.34374400000002</v>
      </c>
      <c r="S61">
        <v>759.84486400000003</v>
      </c>
      <c r="T61">
        <v>135.52435199999999</v>
      </c>
      <c r="U61">
        <v>146.23129599999999</v>
      </c>
      <c r="V61">
        <v>143.93343999999999</v>
      </c>
      <c r="W61">
        <v>141.672448</v>
      </c>
      <c r="X61">
        <v>132.19839999999999</v>
      </c>
      <c r="Y61">
        <v>157.57721599999999</v>
      </c>
      <c r="Z61">
        <v>12.574719999999999</v>
      </c>
      <c r="AA61">
        <v>11.599872</v>
      </c>
      <c r="AB61">
        <v>10.756095999999999</v>
      </c>
      <c r="AC61">
        <v>10.289152</v>
      </c>
      <c r="AD61">
        <v>10.81344</v>
      </c>
      <c r="AE61">
        <v>10.285056000000001</v>
      </c>
    </row>
    <row r="62" spans="1:31" x14ac:dyDescent="0.3">
      <c r="A62" t="s">
        <v>62</v>
      </c>
      <c r="B62">
        <v>202.539008</v>
      </c>
      <c r="C62">
        <v>22112.772096000001</v>
      </c>
      <c r="D62">
        <v>1466.978304</v>
      </c>
      <c r="E62">
        <v>5102.5223679999999</v>
      </c>
      <c r="F62">
        <v>5051.0397439999997</v>
      </c>
      <c r="G62">
        <v>7418.6465280000002</v>
      </c>
      <c r="H62">
        <v>870.94476799999995</v>
      </c>
      <c r="I62">
        <v>64.241664</v>
      </c>
      <c r="J62">
        <v>1232.842752</v>
      </c>
      <c r="K62">
        <v>10435.653632</v>
      </c>
      <c r="L62">
        <v>10444.275712000001</v>
      </c>
      <c r="M62">
        <v>1466.978304</v>
      </c>
      <c r="N62" t="s">
        <v>52</v>
      </c>
      <c r="O62">
        <v>5102.5223679999999</v>
      </c>
      <c r="P62">
        <v>5051.0397439999997</v>
      </c>
      <c r="Q62">
        <v>4961.9353600000004</v>
      </c>
      <c r="R62">
        <v>1227.1042560000001</v>
      </c>
      <c r="S62">
        <v>1229.606912</v>
      </c>
      <c r="T62">
        <v>171.68793600000001</v>
      </c>
      <c r="U62">
        <v>148.15641600000001</v>
      </c>
      <c r="V62">
        <v>138.79295999999999</v>
      </c>
      <c r="W62">
        <v>141.00479999999999</v>
      </c>
      <c r="X62">
        <v>133.20192</v>
      </c>
      <c r="Y62">
        <v>138.10073600000001</v>
      </c>
      <c r="Z62">
        <v>10.801152</v>
      </c>
      <c r="AA62">
        <v>9.6337919999999997</v>
      </c>
      <c r="AB62">
        <v>11.214848</v>
      </c>
      <c r="AC62">
        <v>10.674175999999999</v>
      </c>
      <c r="AD62">
        <v>11.214848</v>
      </c>
      <c r="AE62">
        <v>10.702847999999999</v>
      </c>
    </row>
    <row r="63" spans="1:31" x14ac:dyDescent="0.3">
      <c r="A63" t="s">
        <v>68</v>
      </c>
      <c r="B63">
        <v>217.23136</v>
      </c>
      <c r="C63">
        <v>33214.480384000002</v>
      </c>
      <c r="D63">
        <v>1515.646976</v>
      </c>
      <c r="E63">
        <v>5105.9220480000004</v>
      </c>
      <c r="F63">
        <v>5037.8383359999998</v>
      </c>
      <c r="G63">
        <v>7412.9203199999993</v>
      </c>
      <c r="H63">
        <v>917.61868800000002</v>
      </c>
      <c r="I63">
        <v>65.441791999999992</v>
      </c>
      <c r="J63">
        <v>11214.086144000001</v>
      </c>
      <c r="K63">
        <v>11108.651008000001</v>
      </c>
      <c r="L63">
        <v>10891.743232000001</v>
      </c>
      <c r="M63">
        <v>1515.646976</v>
      </c>
      <c r="N63" t="s">
        <v>52</v>
      </c>
      <c r="O63">
        <v>5105.9220480000004</v>
      </c>
      <c r="P63">
        <v>5037.8383359999998</v>
      </c>
      <c r="Q63">
        <v>4962.1114879999996</v>
      </c>
      <c r="R63">
        <v>1224.0609280000001</v>
      </c>
      <c r="S63">
        <v>1226.7479040000001</v>
      </c>
      <c r="T63">
        <v>166.61299199999999</v>
      </c>
      <c r="U63">
        <v>190.25919999999999</v>
      </c>
      <c r="V63">
        <v>136.88012800000001</v>
      </c>
      <c r="W63">
        <v>142.75788800000001</v>
      </c>
      <c r="X63">
        <v>141.18912</v>
      </c>
      <c r="Y63">
        <v>139.91936000000001</v>
      </c>
      <c r="Z63">
        <v>11.866111999999999</v>
      </c>
      <c r="AA63">
        <v>10.555391999999999</v>
      </c>
      <c r="AB63">
        <v>10.960896</v>
      </c>
      <c r="AC63">
        <v>10.493952</v>
      </c>
      <c r="AD63">
        <v>10.985472</v>
      </c>
      <c r="AE63">
        <v>10.579967999999999</v>
      </c>
    </row>
    <row r="64" spans="1:31" x14ac:dyDescent="0.3">
      <c r="A64" t="s">
        <v>69</v>
      </c>
      <c r="B64">
        <v>209.73977600000001</v>
      </c>
      <c r="C64">
        <v>23397.752831999998</v>
      </c>
      <c r="D64">
        <v>1987.5635199999999</v>
      </c>
      <c r="E64">
        <v>5116.5183999999999</v>
      </c>
      <c r="F64">
        <v>5038.4814079999996</v>
      </c>
      <c r="G64">
        <v>7415.7547520000007</v>
      </c>
      <c r="H64">
        <v>881.81145600000002</v>
      </c>
      <c r="I64">
        <v>64.512</v>
      </c>
      <c r="J64">
        <v>10844.610559999999</v>
      </c>
      <c r="K64">
        <v>11323.150336000001</v>
      </c>
      <c r="L64">
        <v>1229.9919359999999</v>
      </c>
      <c r="M64">
        <v>1987.5635199999999</v>
      </c>
      <c r="N64" t="s">
        <v>52</v>
      </c>
      <c r="O64">
        <v>5116.5183999999999</v>
      </c>
      <c r="P64">
        <v>5038.4814079999996</v>
      </c>
      <c r="Q64">
        <v>4961.1325440000001</v>
      </c>
      <c r="R64">
        <v>1229.8240000000001</v>
      </c>
      <c r="S64">
        <v>1224.7982079999999</v>
      </c>
      <c r="T64">
        <v>179.31059200000001</v>
      </c>
      <c r="U64">
        <v>152.85452799999999</v>
      </c>
      <c r="V64">
        <v>141.324288</v>
      </c>
      <c r="W64">
        <v>136.08140800000001</v>
      </c>
      <c r="X64">
        <v>133.341184</v>
      </c>
      <c r="Y64">
        <v>138.89945599999999</v>
      </c>
      <c r="Z64">
        <v>11.624447999999999</v>
      </c>
      <c r="AA64">
        <v>10.69056</v>
      </c>
      <c r="AB64">
        <v>11.030528</v>
      </c>
      <c r="AC64">
        <v>9.7771519999999992</v>
      </c>
      <c r="AD64">
        <v>10.952704000000001</v>
      </c>
      <c r="AE64">
        <v>10.436608</v>
      </c>
    </row>
    <row r="65" spans="1:31" x14ac:dyDescent="0.3">
      <c r="A65" t="s">
        <v>70</v>
      </c>
      <c r="B65">
        <v>213.536768</v>
      </c>
      <c r="C65">
        <v>23518.322688</v>
      </c>
      <c r="D65">
        <v>1991.5325439999999</v>
      </c>
      <c r="E65">
        <v>5159.202816</v>
      </c>
      <c r="F65">
        <v>5035.4462720000001</v>
      </c>
      <c r="G65">
        <v>7419.2527359999995</v>
      </c>
      <c r="H65">
        <v>896.05734399999983</v>
      </c>
      <c r="I65">
        <v>65.445887999999997</v>
      </c>
      <c r="J65">
        <v>10919.280640000001</v>
      </c>
      <c r="K65">
        <v>10805.649407999999</v>
      </c>
      <c r="L65">
        <v>1793.39264</v>
      </c>
      <c r="M65">
        <v>1991.5325439999999</v>
      </c>
      <c r="N65" t="s">
        <v>52</v>
      </c>
      <c r="O65">
        <v>5159.202816</v>
      </c>
      <c r="P65">
        <v>5035.4462720000001</v>
      </c>
      <c r="Q65">
        <v>4958.7814399999997</v>
      </c>
      <c r="R65">
        <v>1233.7807359999999</v>
      </c>
      <c r="S65">
        <v>1226.69056</v>
      </c>
      <c r="T65">
        <v>181.90335999999999</v>
      </c>
      <c r="U65">
        <v>145.32198399999999</v>
      </c>
      <c r="V65">
        <v>140.77542399999999</v>
      </c>
      <c r="W65">
        <v>155.86918399999999</v>
      </c>
      <c r="X65">
        <v>135.58169599999999</v>
      </c>
      <c r="Y65">
        <v>136.60569599999999</v>
      </c>
      <c r="Z65">
        <v>12.095488</v>
      </c>
      <c r="AA65">
        <v>10.539008000000001</v>
      </c>
      <c r="AB65">
        <v>10.985472</v>
      </c>
      <c r="AC65">
        <v>10.42432</v>
      </c>
      <c r="AD65">
        <v>10.964992000000001</v>
      </c>
      <c r="AE65">
        <v>10.436608</v>
      </c>
    </row>
    <row r="66" spans="1:31" x14ac:dyDescent="0.3">
      <c r="A66" t="s">
        <v>71</v>
      </c>
      <c r="B66">
        <v>213.147648</v>
      </c>
      <c r="C66">
        <v>32340.836351999998</v>
      </c>
      <c r="D66">
        <v>2730.8646399999998</v>
      </c>
      <c r="E66">
        <v>5122.5477119999996</v>
      </c>
      <c r="F66">
        <v>5036.343296</v>
      </c>
      <c r="G66">
        <v>7412.6868480000012</v>
      </c>
      <c r="H66">
        <v>931.6679680000002</v>
      </c>
      <c r="I66">
        <v>64.921600000000012</v>
      </c>
      <c r="J66">
        <v>10693.607424</v>
      </c>
      <c r="K66">
        <v>10951.434240000001</v>
      </c>
      <c r="L66">
        <v>10695.794688</v>
      </c>
      <c r="M66">
        <v>2730.8646399999998</v>
      </c>
      <c r="N66" t="s">
        <v>52</v>
      </c>
      <c r="O66">
        <v>5122.5477119999996</v>
      </c>
      <c r="P66">
        <v>5036.343296</v>
      </c>
      <c r="Q66">
        <v>4958.7732480000004</v>
      </c>
      <c r="R66">
        <v>1220.3294719999999</v>
      </c>
      <c r="S66">
        <v>1233.584128</v>
      </c>
      <c r="T66">
        <v>187.03564800000001</v>
      </c>
      <c r="U66">
        <v>150.85977600000001</v>
      </c>
      <c r="V66">
        <v>134.934528</v>
      </c>
      <c r="W66">
        <v>132.82508799999999</v>
      </c>
      <c r="X66">
        <v>188.97305600000001</v>
      </c>
      <c r="Y66">
        <v>137.039872</v>
      </c>
      <c r="Z66">
        <v>11.378688</v>
      </c>
      <c r="AA66">
        <v>10.8544</v>
      </c>
      <c r="AB66">
        <v>10.956799999999999</v>
      </c>
      <c r="AC66">
        <v>10.403840000000001</v>
      </c>
      <c r="AD66">
        <v>10.940416000000001</v>
      </c>
      <c r="AE66">
        <v>10.387456</v>
      </c>
    </row>
    <row r="67" spans="1:31" x14ac:dyDescent="0.3">
      <c r="A67" t="s">
        <v>72</v>
      </c>
      <c r="B67">
        <v>211.05459200000001</v>
      </c>
      <c r="C67">
        <v>33230.954495999998</v>
      </c>
      <c r="D67">
        <v>3492.6755840000001</v>
      </c>
      <c r="E67">
        <v>5154.7832320000007</v>
      </c>
      <c r="F67">
        <v>5062.578176</v>
      </c>
      <c r="G67">
        <v>7407.6282879999999</v>
      </c>
      <c r="H67">
        <v>886.58739200000002</v>
      </c>
      <c r="I67">
        <v>66.760704000000004</v>
      </c>
      <c r="J67">
        <v>11356.352511999999</v>
      </c>
      <c r="K67">
        <v>10893.000704</v>
      </c>
      <c r="L67">
        <v>10981.601280000001</v>
      </c>
      <c r="M67">
        <v>3492.6755840000001</v>
      </c>
      <c r="N67" t="s">
        <v>52</v>
      </c>
      <c r="O67">
        <v>5154.7832320000007</v>
      </c>
      <c r="P67">
        <v>5062.578176</v>
      </c>
      <c r="Q67">
        <v>4960.9605119999997</v>
      </c>
      <c r="R67">
        <v>1222.3938559999999</v>
      </c>
      <c r="S67">
        <v>1224.2739200000001</v>
      </c>
      <c r="T67">
        <v>184.09472</v>
      </c>
      <c r="U67">
        <v>142.84390400000001</v>
      </c>
      <c r="V67">
        <v>136.88012800000001</v>
      </c>
      <c r="W67">
        <v>139.77190400000001</v>
      </c>
      <c r="X67">
        <v>142.180352</v>
      </c>
      <c r="Y67">
        <v>140.816384</v>
      </c>
      <c r="Z67">
        <v>12.382208</v>
      </c>
      <c r="AA67">
        <v>12.546048000000001</v>
      </c>
      <c r="AB67">
        <v>10.129408</v>
      </c>
      <c r="AC67">
        <v>10.412032</v>
      </c>
      <c r="AD67">
        <v>10.932224</v>
      </c>
      <c r="AE67">
        <v>10.358784</v>
      </c>
    </row>
    <row r="68" spans="1:31" x14ac:dyDescent="0.3">
      <c r="A68" t="s">
        <v>73</v>
      </c>
      <c r="B68">
        <v>212.860928</v>
      </c>
      <c r="C68">
        <v>32718.856192000003</v>
      </c>
      <c r="D68">
        <v>3531.923456</v>
      </c>
      <c r="E68">
        <v>5149.2454399999997</v>
      </c>
      <c r="F68">
        <v>5069.1399680000004</v>
      </c>
      <c r="G68">
        <v>7418.273792</v>
      </c>
      <c r="H68">
        <v>892.44057600000008</v>
      </c>
      <c r="I68">
        <v>67.248127999999994</v>
      </c>
      <c r="J68">
        <v>11030.929408</v>
      </c>
      <c r="K68">
        <v>11014.369280000001</v>
      </c>
      <c r="L68">
        <v>10673.557504</v>
      </c>
      <c r="M68">
        <v>3531.923456</v>
      </c>
      <c r="N68" t="s">
        <v>52</v>
      </c>
      <c r="O68">
        <v>5149.2454399999997</v>
      </c>
      <c r="P68">
        <v>5069.1399680000004</v>
      </c>
      <c r="Q68">
        <v>4971.8845439999996</v>
      </c>
      <c r="R68">
        <v>1222.152192</v>
      </c>
      <c r="S68">
        <v>1224.2370559999999</v>
      </c>
      <c r="T68">
        <v>186.79808</v>
      </c>
      <c r="U68">
        <v>143.941632</v>
      </c>
      <c r="V68">
        <v>141.10720000000001</v>
      </c>
      <c r="W68">
        <v>142.47116800000001</v>
      </c>
      <c r="X68">
        <v>141.90592000000001</v>
      </c>
      <c r="Y68">
        <v>136.216576</v>
      </c>
      <c r="Z68">
        <v>11.415552</v>
      </c>
      <c r="AA68">
        <v>10.559488</v>
      </c>
      <c r="AB68">
        <v>13.201408000000001</v>
      </c>
      <c r="AC68">
        <v>10.706944</v>
      </c>
      <c r="AD68">
        <v>10.952704000000001</v>
      </c>
      <c r="AE68">
        <v>10.412032</v>
      </c>
    </row>
    <row r="69" spans="1:31" x14ac:dyDescent="0.3">
      <c r="A69" t="s">
        <v>74</v>
      </c>
      <c r="B69">
        <v>212.38579200000001</v>
      </c>
      <c r="C69">
        <v>22503.145472</v>
      </c>
      <c r="D69">
        <v>3511.6154879999999</v>
      </c>
      <c r="E69">
        <v>5154.2548480000005</v>
      </c>
      <c r="F69">
        <v>5075.5338240000001</v>
      </c>
      <c r="G69">
        <v>7427.2890879999995</v>
      </c>
      <c r="H69">
        <v>865.72646400000008</v>
      </c>
      <c r="I69">
        <v>65.232895999999997</v>
      </c>
      <c r="J69">
        <v>10752.667648000001</v>
      </c>
      <c r="K69">
        <v>10485.805055999999</v>
      </c>
      <c r="L69">
        <v>1264.6727679999999</v>
      </c>
      <c r="M69">
        <v>3511.6154879999999</v>
      </c>
      <c r="N69" t="s">
        <v>52</v>
      </c>
      <c r="O69">
        <v>5154.2548480000005</v>
      </c>
      <c r="P69">
        <v>5075.5338240000001</v>
      </c>
      <c r="Q69">
        <v>4977.6189439999998</v>
      </c>
      <c r="R69">
        <v>1228.120064</v>
      </c>
      <c r="S69">
        <v>1221.55008</v>
      </c>
      <c r="T69">
        <v>179.92908800000001</v>
      </c>
      <c r="U69">
        <v>141.672448</v>
      </c>
      <c r="V69">
        <v>136.556544</v>
      </c>
      <c r="W69">
        <v>133.935104</v>
      </c>
      <c r="X69">
        <v>134.15219200000001</v>
      </c>
      <c r="Y69">
        <v>139.481088</v>
      </c>
      <c r="Z69">
        <v>12.025855999999999</v>
      </c>
      <c r="AA69">
        <v>10.457088000000001</v>
      </c>
      <c r="AB69">
        <v>10.944512</v>
      </c>
      <c r="AC69">
        <v>10.407935999999999</v>
      </c>
      <c r="AD69">
        <v>10.948608</v>
      </c>
      <c r="AE69">
        <v>10.448896</v>
      </c>
    </row>
    <row r="70" spans="1:31" x14ac:dyDescent="0.3">
      <c r="A70" t="s">
        <v>75</v>
      </c>
      <c r="B70">
        <v>217.54265599999999</v>
      </c>
      <c r="C70">
        <v>32556.220416</v>
      </c>
      <c r="D70">
        <v>4903.5509760000004</v>
      </c>
      <c r="E70">
        <v>5160.4070400000001</v>
      </c>
      <c r="F70">
        <v>5118.7875839999997</v>
      </c>
      <c r="G70">
        <v>7412.7646720000002</v>
      </c>
      <c r="H70">
        <v>1065.0501120000001</v>
      </c>
      <c r="I70">
        <v>65.409024000000002</v>
      </c>
      <c r="J70">
        <v>10672.324608000001</v>
      </c>
      <c r="K70">
        <v>10966.134784</v>
      </c>
      <c r="L70">
        <v>10917.761023999999</v>
      </c>
      <c r="M70">
        <v>4903.5509760000004</v>
      </c>
      <c r="N70" t="s">
        <v>52</v>
      </c>
      <c r="O70">
        <v>5160.4070400000001</v>
      </c>
      <c r="P70">
        <v>5118.7875839999997</v>
      </c>
      <c r="Q70">
        <v>4968.1448959999998</v>
      </c>
      <c r="R70">
        <v>1219.6085760000001</v>
      </c>
      <c r="S70">
        <v>1225.0111999999999</v>
      </c>
      <c r="T70">
        <v>195.00236799999999</v>
      </c>
      <c r="U70">
        <v>294.16652800000003</v>
      </c>
      <c r="V70">
        <v>138.47756799999999</v>
      </c>
      <c r="W70">
        <v>140.15283199999999</v>
      </c>
      <c r="X70">
        <v>150.646784</v>
      </c>
      <c r="Y70">
        <v>146.60403199999999</v>
      </c>
      <c r="Z70">
        <v>12.087296</v>
      </c>
      <c r="AA70">
        <v>10.620927999999999</v>
      </c>
      <c r="AB70">
        <v>10.944512</v>
      </c>
      <c r="AC70">
        <v>10.403840000000001</v>
      </c>
      <c r="AD70">
        <v>10.960896</v>
      </c>
      <c r="AE70">
        <v>10.391552000000001</v>
      </c>
    </row>
    <row r="71" spans="1:31" x14ac:dyDescent="0.3">
      <c r="A71" t="s">
        <v>76</v>
      </c>
      <c r="B71">
        <v>214.71641600000001</v>
      </c>
      <c r="C71">
        <v>31917.002752</v>
      </c>
      <c r="D71">
        <v>4820.6888959999997</v>
      </c>
      <c r="E71">
        <v>5164.8798720000004</v>
      </c>
      <c r="F71">
        <v>5083.2752639999999</v>
      </c>
      <c r="G71">
        <v>7417.1269119999997</v>
      </c>
      <c r="H71">
        <v>1043.705856</v>
      </c>
      <c r="I71">
        <v>67.301375999999991</v>
      </c>
      <c r="J71">
        <v>10485.460992</v>
      </c>
      <c r="K71">
        <v>10505.109504</v>
      </c>
      <c r="L71">
        <v>10926.432256</v>
      </c>
      <c r="M71">
        <v>4820.6888959999997</v>
      </c>
      <c r="N71" t="s">
        <v>52</v>
      </c>
      <c r="O71">
        <v>5164.8798720000004</v>
      </c>
      <c r="P71">
        <v>5083.2752639999999</v>
      </c>
      <c r="Q71">
        <v>4966.1460479999996</v>
      </c>
      <c r="R71">
        <v>1231.6426240000001</v>
      </c>
      <c r="S71">
        <v>1219.33824</v>
      </c>
      <c r="T71">
        <v>181.83372800000001</v>
      </c>
      <c r="U71">
        <v>151.15059199999999</v>
      </c>
      <c r="V71">
        <v>146.28454400000001</v>
      </c>
      <c r="W71">
        <v>133.20601600000001</v>
      </c>
      <c r="X71">
        <v>138.89536000000001</v>
      </c>
      <c r="Y71">
        <v>292.33561600000002</v>
      </c>
      <c r="Z71">
        <v>11.759615999999999</v>
      </c>
      <c r="AA71">
        <v>10.821631999999999</v>
      </c>
      <c r="AB71">
        <v>10.952704000000001</v>
      </c>
      <c r="AC71">
        <v>10.326015999999999</v>
      </c>
      <c r="AD71">
        <v>13.041664000000001</v>
      </c>
      <c r="AE71">
        <v>10.399744</v>
      </c>
    </row>
    <row r="72" spans="1:31" x14ac:dyDescent="0.3">
      <c r="A72" t="s">
        <v>77</v>
      </c>
      <c r="B72">
        <v>216.21964800000001</v>
      </c>
      <c r="C72">
        <v>32939.769855999999</v>
      </c>
      <c r="D72">
        <v>5686.5136640000001</v>
      </c>
      <c r="E72">
        <v>5153.5380480000003</v>
      </c>
      <c r="F72">
        <v>5068.890112</v>
      </c>
      <c r="G72">
        <v>7415.3983999999991</v>
      </c>
      <c r="H72">
        <v>916.60697600000003</v>
      </c>
      <c r="I72">
        <v>65.388543999999996</v>
      </c>
      <c r="J72">
        <v>10992.132095999999</v>
      </c>
      <c r="K72">
        <v>11398.299648</v>
      </c>
      <c r="L72">
        <v>10549.338111999999</v>
      </c>
      <c r="M72">
        <v>5686.5136640000001</v>
      </c>
      <c r="N72" t="s">
        <v>52</v>
      </c>
      <c r="O72">
        <v>5153.5380480000003</v>
      </c>
      <c r="P72">
        <v>5068.890112</v>
      </c>
      <c r="Q72">
        <v>4961.1366399999997</v>
      </c>
      <c r="R72">
        <v>1227.89888</v>
      </c>
      <c r="S72">
        <v>1226.3628799999999</v>
      </c>
      <c r="T72">
        <v>182.32934399999999</v>
      </c>
      <c r="U72">
        <v>156.88089600000001</v>
      </c>
      <c r="V72">
        <v>145.96096</v>
      </c>
      <c r="W72">
        <v>143.31084799999999</v>
      </c>
      <c r="X72">
        <v>145.62508800000001</v>
      </c>
      <c r="Y72">
        <v>142.49984000000001</v>
      </c>
      <c r="Z72">
        <v>11.759615999999999</v>
      </c>
      <c r="AA72">
        <v>10.797056</v>
      </c>
      <c r="AB72">
        <v>10.956799999999999</v>
      </c>
      <c r="AC72">
        <v>10.432511999999999</v>
      </c>
      <c r="AD72">
        <v>11.001856</v>
      </c>
      <c r="AE72">
        <v>10.440704</v>
      </c>
    </row>
    <row r="73" spans="1:31" x14ac:dyDescent="0.3">
      <c r="A73" t="s">
        <v>78</v>
      </c>
      <c r="B73">
        <v>196.288512</v>
      </c>
      <c r="C73">
        <v>31593.500671999998</v>
      </c>
      <c r="D73">
        <v>1445.842944</v>
      </c>
      <c r="E73">
        <v>5141.4261759999999</v>
      </c>
      <c r="F73">
        <v>5041.0577919999996</v>
      </c>
      <c r="G73">
        <v>7417.4013439999999</v>
      </c>
      <c r="H73">
        <v>1010.5774080000001</v>
      </c>
      <c r="I73">
        <v>63.143935999999997</v>
      </c>
      <c r="J73">
        <v>10556.182527999999</v>
      </c>
      <c r="K73">
        <v>10435.383296</v>
      </c>
      <c r="L73">
        <v>10601.934848000001</v>
      </c>
      <c r="M73">
        <v>1445.842944</v>
      </c>
      <c r="N73" t="s">
        <v>52</v>
      </c>
      <c r="O73">
        <v>5141.4261759999999</v>
      </c>
      <c r="P73">
        <v>5041.0577919999996</v>
      </c>
      <c r="Q73">
        <v>4972.785664</v>
      </c>
      <c r="R73">
        <v>1218.9777919999999</v>
      </c>
      <c r="S73">
        <v>1225.637888</v>
      </c>
      <c r="T73">
        <v>148.43904000000001</v>
      </c>
      <c r="U73">
        <v>143.08556799999999</v>
      </c>
      <c r="V73">
        <v>140.34943999999999</v>
      </c>
      <c r="W73">
        <v>141.266944</v>
      </c>
      <c r="X73">
        <v>137.15456</v>
      </c>
      <c r="Y73">
        <v>300.281856</v>
      </c>
      <c r="Z73">
        <v>10.42432</v>
      </c>
      <c r="AA73">
        <v>9.4986239999999995</v>
      </c>
      <c r="AB73">
        <v>11.259904000000001</v>
      </c>
      <c r="AC73">
        <v>10.428416</v>
      </c>
      <c r="AD73">
        <v>11.001856</v>
      </c>
      <c r="AE73">
        <v>10.530816</v>
      </c>
    </row>
    <row r="74" spans="1:31" x14ac:dyDescent="0.3">
      <c r="A74" t="s">
        <v>80</v>
      </c>
      <c r="B74">
        <v>224.37478400000001</v>
      </c>
      <c r="C74">
        <v>31644.938240000003</v>
      </c>
      <c r="D74">
        <v>1520.9267199999999</v>
      </c>
      <c r="E74">
        <v>5112.4838399999999</v>
      </c>
      <c r="F74">
        <v>5057.7407999999996</v>
      </c>
      <c r="G74">
        <v>7427.3669120000004</v>
      </c>
      <c r="H74">
        <v>920.91596799999991</v>
      </c>
      <c r="I74">
        <v>67.629056000000006</v>
      </c>
      <c r="J74">
        <v>10749.161472</v>
      </c>
      <c r="K74">
        <v>10438.356992000001</v>
      </c>
      <c r="L74">
        <v>10457.419776000001</v>
      </c>
      <c r="M74">
        <v>1520.9267199999999</v>
      </c>
      <c r="N74" t="s">
        <v>52</v>
      </c>
      <c r="O74">
        <v>5112.4838399999999</v>
      </c>
      <c r="P74">
        <v>5057.7407999999996</v>
      </c>
      <c r="Q74">
        <v>4974.3790079999999</v>
      </c>
      <c r="R74">
        <v>1226.6086399999999</v>
      </c>
      <c r="S74">
        <v>1226.3792639999999</v>
      </c>
      <c r="T74">
        <v>172.49894399999999</v>
      </c>
      <c r="U74">
        <v>138.92812799999999</v>
      </c>
      <c r="V74">
        <v>141.447168</v>
      </c>
      <c r="W74">
        <v>185.82323199999999</v>
      </c>
      <c r="X74">
        <v>134.41433599999999</v>
      </c>
      <c r="Y74">
        <v>147.80416</v>
      </c>
      <c r="Z74">
        <v>11.845632</v>
      </c>
      <c r="AA74">
        <v>10.530816</v>
      </c>
      <c r="AB74">
        <v>11.218944</v>
      </c>
      <c r="AC74">
        <v>10.428416</v>
      </c>
      <c r="AD74">
        <v>10.993664000000001</v>
      </c>
      <c r="AE74">
        <v>12.611584000000001</v>
      </c>
    </row>
    <row r="75" spans="1:31" x14ac:dyDescent="0.3">
      <c r="A75" t="s">
        <v>81</v>
      </c>
      <c r="B75">
        <v>212.344832</v>
      </c>
      <c r="C75">
        <v>32143.847423999996</v>
      </c>
      <c r="D75">
        <v>2035.7734399999999</v>
      </c>
      <c r="E75">
        <v>5112.9180160000005</v>
      </c>
      <c r="F75">
        <v>5074.1329919999998</v>
      </c>
      <c r="G75">
        <v>7425.0854399999998</v>
      </c>
      <c r="H75">
        <v>1051.136</v>
      </c>
      <c r="I75">
        <v>64.692223999999996</v>
      </c>
      <c r="J75">
        <v>10637.918207999999</v>
      </c>
      <c r="K75">
        <v>10798.596095999999</v>
      </c>
      <c r="L75">
        <v>10707.333119999999</v>
      </c>
      <c r="M75">
        <v>2035.7734399999999</v>
      </c>
      <c r="N75" t="s">
        <v>52</v>
      </c>
      <c r="O75">
        <v>5112.9180160000005</v>
      </c>
      <c r="P75">
        <v>5074.1329919999998</v>
      </c>
      <c r="Q75">
        <v>4970.5451519999997</v>
      </c>
      <c r="R75">
        <v>1229.819904</v>
      </c>
      <c r="S75">
        <v>1224.720384</v>
      </c>
      <c r="T75">
        <v>165.883904</v>
      </c>
      <c r="U75">
        <v>289.56671999999998</v>
      </c>
      <c r="V75">
        <v>133.75078400000001</v>
      </c>
      <c r="W75">
        <v>185.18016</v>
      </c>
      <c r="X75">
        <v>134.930432</v>
      </c>
      <c r="Y75">
        <v>141.82400000000001</v>
      </c>
      <c r="Z75">
        <v>11.382783999999999</v>
      </c>
      <c r="AA75">
        <v>10.469376</v>
      </c>
      <c r="AB75">
        <v>10.973184</v>
      </c>
      <c r="AC75">
        <v>10.420223999999999</v>
      </c>
      <c r="AD75">
        <v>11.001856</v>
      </c>
      <c r="AE75">
        <v>10.444800000000001</v>
      </c>
    </row>
    <row r="76" spans="1:31" x14ac:dyDescent="0.3">
      <c r="A76" t="s">
        <v>82</v>
      </c>
      <c r="B76">
        <v>219.00492800000001</v>
      </c>
      <c r="C76">
        <v>31874.289664</v>
      </c>
      <c r="D76">
        <v>2611.0279679999999</v>
      </c>
      <c r="E76">
        <v>5157.1507199999996</v>
      </c>
      <c r="F76">
        <v>5061.1691520000004</v>
      </c>
      <c r="G76">
        <v>7416.8934399999998</v>
      </c>
      <c r="H76">
        <v>875.76166400000011</v>
      </c>
      <c r="I76">
        <v>65.777663999999987</v>
      </c>
      <c r="J76">
        <v>10450.587648000001</v>
      </c>
      <c r="K76">
        <v>10692.911104000001</v>
      </c>
      <c r="L76">
        <v>10730.790912</v>
      </c>
      <c r="M76">
        <v>2611.0279679999999</v>
      </c>
      <c r="N76" t="s">
        <v>52</v>
      </c>
      <c r="O76">
        <v>5157.1507199999996</v>
      </c>
      <c r="P76">
        <v>5061.1691520000004</v>
      </c>
      <c r="Q76">
        <v>4963.6188160000002</v>
      </c>
      <c r="R76">
        <v>1228.2593280000001</v>
      </c>
      <c r="S76">
        <v>1225.015296</v>
      </c>
      <c r="T76">
        <v>176.652288</v>
      </c>
      <c r="U76">
        <v>144.66252800000001</v>
      </c>
      <c r="V76">
        <v>142.18854400000001</v>
      </c>
      <c r="W76">
        <v>139.18208000000001</v>
      </c>
      <c r="X76">
        <v>133.20192</v>
      </c>
      <c r="Y76">
        <v>139.874304</v>
      </c>
      <c r="Z76">
        <v>11.886592</v>
      </c>
      <c r="AA76">
        <v>10.244096000000001</v>
      </c>
      <c r="AB76">
        <v>10.461183999999999</v>
      </c>
      <c r="AC76">
        <v>9.6051199999999994</v>
      </c>
      <c r="AD76">
        <v>12.767232</v>
      </c>
      <c r="AE76">
        <v>10.81344</v>
      </c>
    </row>
    <row r="77" spans="1:31" x14ac:dyDescent="0.3">
      <c r="A77" t="s">
        <v>83</v>
      </c>
      <c r="B77">
        <v>210.29683199999999</v>
      </c>
      <c r="C77">
        <v>31977.467904000001</v>
      </c>
      <c r="D77">
        <v>2930.0858880000001</v>
      </c>
      <c r="E77">
        <v>5146.0055039999997</v>
      </c>
      <c r="F77">
        <v>5051.7114879999999</v>
      </c>
      <c r="G77">
        <v>7413.2561919999998</v>
      </c>
      <c r="H77">
        <v>1043.972096</v>
      </c>
      <c r="I77">
        <v>64.888831999999994</v>
      </c>
      <c r="J77">
        <v>10844.749824</v>
      </c>
      <c r="K77">
        <v>10475.274240000001</v>
      </c>
      <c r="L77">
        <v>10657.44384</v>
      </c>
      <c r="M77">
        <v>2930.0858880000001</v>
      </c>
      <c r="N77" t="s">
        <v>52</v>
      </c>
      <c r="O77">
        <v>5146.0055039999997</v>
      </c>
      <c r="P77">
        <v>5051.7114879999999</v>
      </c>
      <c r="Q77">
        <v>4961.3742080000002</v>
      </c>
      <c r="R77">
        <v>1226.317824</v>
      </c>
      <c r="S77">
        <v>1225.5641599999999</v>
      </c>
      <c r="T77">
        <v>187.49849599999999</v>
      </c>
      <c r="U77">
        <v>144.43315200000001</v>
      </c>
      <c r="V77">
        <v>136.12236799999999</v>
      </c>
      <c r="W77">
        <v>296.73881599999999</v>
      </c>
      <c r="X77">
        <v>138.98956799999999</v>
      </c>
      <c r="Y77">
        <v>140.189696</v>
      </c>
      <c r="Z77">
        <v>11.902976000000001</v>
      </c>
      <c r="AA77">
        <v>10.219519999999999</v>
      </c>
      <c r="AB77">
        <v>10.960896</v>
      </c>
      <c r="AC77">
        <v>10.444800000000001</v>
      </c>
      <c r="AD77">
        <v>10.964992000000001</v>
      </c>
      <c r="AE77">
        <v>10.395648</v>
      </c>
    </row>
    <row r="78" spans="1:31" x14ac:dyDescent="0.3">
      <c r="A78" t="s">
        <v>84</v>
      </c>
      <c r="B78">
        <v>216.522752</v>
      </c>
      <c r="C78">
        <v>31559.696383999999</v>
      </c>
      <c r="D78">
        <v>3525.34528</v>
      </c>
      <c r="E78">
        <v>5150.2735359999997</v>
      </c>
      <c r="F78">
        <v>5056.9461760000004</v>
      </c>
      <c r="G78">
        <v>7406.2233600000009</v>
      </c>
      <c r="H78">
        <v>897.11411199999998</v>
      </c>
      <c r="I78">
        <v>67.751936000000001</v>
      </c>
      <c r="J78">
        <v>10595.241984</v>
      </c>
      <c r="K78">
        <v>10476.187647999999</v>
      </c>
      <c r="L78">
        <v>10488.266752</v>
      </c>
      <c r="M78">
        <v>3525.34528</v>
      </c>
      <c r="N78" t="s">
        <v>52</v>
      </c>
      <c r="O78">
        <v>5150.2735359999997</v>
      </c>
      <c r="P78">
        <v>5056.9461760000004</v>
      </c>
      <c r="Q78">
        <v>4961.2390400000004</v>
      </c>
      <c r="R78">
        <v>1223.7905920000001</v>
      </c>
      <c r="S78">
        <v>1221.193728</v>
      </c>
      <c r="T78">
        <v>175.10809599999999</v>
      </c>
      <c r="U78">
        <v>149.45075199999999</v>
      </c>
      <c r="V78">
        <v>136.92928000000001</v>
      </c>
      <c r="W78">
        <v>152.354816</v>
      </c>
      <c r="X78">
        <v>144.49459200000001</v>
      </c>
      <c r="Y78">
        <v>138.77657600000001</v>
      </c>
      <c r="Z78">
        <v>12.005376</v>
      </c>
      <c r="AA78">
        <v>10.874879999999999</v>
      </c>
      <c r="AB78">
        <v>13.037568</v>
      </c>
      <c r="AC78">
        <v>10.46528</v>
      </c>
      <c r="AD78">
        <v>10.964992000000001</v>
      </c>
      <c r="AE78">
        <v>10.403840000000001</v>
      </c>
    </row>
    <row r="79" spans="1:31" x14ac:dyDescent="0.3">
      <c r="A79" t="s">
        <v>85</v>
      </c>
      <c r="B79">
        <v>220.01254399999999</v>
      </c>
      <c r="C79">
        <v>31929.896960000002</v>
      </c>
      <c r="D79">
        <v>3507.01568</v>
      </c>
      <c r="E79">
        <v>5154.0705280000002</v>
      </c>
      <c r="F79">
        <v>5052.8092159999997</v>
      </c>
      <c r="G79">
        <v>7408.1484799999998</v>
      </c>
      <c r="H79">
        <v>1055.985664</v>
      </c>
      <c r="I79">
        <v>64.995328000000001</v>
      </c>
      <c r="J79">
        <v>10993.405951999999</v>
      </c>
      <c r="K79">
        <v>10461.02016</v>
      </c>
      <c r="L79">
        <v>10475.470848000001</v>
      </c>
      <c r="M79">
        <v>3507.01568</v>
      </c>
      <c r="N79" t="s">
        <v>52</v>
      </c>
      <c r="O79">
        <v>5154.0705280000002</v>
      </c>
      <c r="P79">
        <v>5052.8092159999997</v>
      </c>
      <c r="Q79">
        <v>4956.2623999999996</v>
      </c>
      <c r="R79">
        <v>1224.515584</v>
      </c>
      <c r="S79">
        <v>1227.370496</v>
      </c>
      <c r="T79">
        <v>179.16313600000001</v>
      </c>
      <c r="U79">
        <v>301.71136000000001</v>
      </c>
      <c r="V79">
        <v>142.00832</v>
      </c>
      <c r="W79">
        <v>139.79648</v>
      </c>
      <c r="X79">
        <v>151.81004799999999</v>
      </c>
      <c r="Y79">
        <v>141.49632</v>
      </c>
      <c r="Z79">
        <v>11.63264</v>
      </c>
      <c r="AA79">
        <v>10.526719999999999</v>
      </c>
      <c r="AB79">
        <v>11.010047999999999</v>
      </c>
      <c r="AC79">
        <v>10.452992</v>
      </c>
      <c r="AD79">
        <v>10.948608</v>
      </c>
      <c r="AE79">
        <v>10.42432</v>
      </c>
    </row>
    <row r="80" spans="1:31" x14ac:dyDescent="0.3">
      <c r="A80" t="s">
        <v>86</v>
      </c>
      <c r="B80">
        <v>217.93587199999999</v>
      </c>
      <c r="C80">
        <v>22899.101695999998</v>
      </c>
      <c r="D80">
        <v>3941.3309439999998</v>
      </c>
      <c r="E80">
        <v>5151.8136320000003</v>
      </c>
      <c r="F80">
        <v>5071.0609919999997</v>
      </c>
      <c r="G80">
        <v>7411.6096000000007</v>
      </c>
      <c r="H80">
        <v>878.11276800000007</v>
      </c>
      <c r="I80">
        <v>64.958463999999992</v>
      </c>
      <c r="J80">
        <v>10488.098816</v>
      </c>
      <c r="K80">
        <v>1453.91616</v>
      </c>
      <c r="L80">
        <v>10957.086719999999</v>
      </c>
      <c r="M80">
        <v>3941.3309439999998</v>
      </c>
      <c r="N80" t="s">
        <v>52</v>
      </c>
      <c r="O80">
        <v>5151.8136320000003</v>
      </c>
      <c r="P80">
        <v>5071.0609919999997</v>
      </c>
      <c r="Q80">
        <v>4965.5971840000002</v>
      </c>
      <c r="R80">
        <v>1226.2891520000001</v>
      </c>
      <c r="S80">
        <v>1219.723264</v>
      </c>
      <c r="T80">
        <v>182.02624</v>
      </c>
      <c r="U80">
        <v>143.81465600000001</v>
      </c>
      <c r="V80">
        <v>134.32012800000001</v>
      </c>
      <c r="W80">
        <v>136.88831999999999</v>
      </c>
      <c r="X80">
        <v>138.170368</v>
      </c>
      <c r="Y80">
        <v>142.893056</v>
      </c>
      <c r="Z80">
        <v>11.624447999999999</v>
      </c>
      <c r="AA80">
        <v>10.674175999999999</v>
      </c>
      <c r="AB80">
        <v>10.944512</v>
      </c>
      <c r="AC80">
        <v>10.334208</v>
      </c>
      <c r="AD80">
        <v>10.969087999999999</v>
      </c>
      <c r="AE80">
        <v>10.412032</v>
      </c>
    </row>
    <row r="81" spans="1:31" x14ac:dyDescent="0.3">
      <c r="A81" t="s">
        <v>87</v>
      </c>
      <c r="B81">
        <v>216.809472</v>
      </c>
      <c r="C81">
        <v>23074.787327999999</v>
      </c>
      <c r="D81">
        <v>4370.804736</v>
      </c>
      <c r="E81">
        <v>5175.4352639999997</v>
      </c>
      <c r="F81">
        <v>5082.079232</v>
      </c>
      <c r="G81">
        <v>7420.3709440000002</v>
      </c>
      <c r="H81">
        <v>872.03840000000002</v>
      </c>
      <c r="I81">
        <v>65.39264</v>
      </c>
      <c r="J81">
        <v>10666.680319999999</v>
      </c>
      <c r="K81">
        <v>11271.331840000001</v>
      </c>
      <c r="L81">
        <v>1136.7751679999999</v>
      </c>
      <c r="M81">
        <v>4370.804736</v>
      </c>
      <c r="N81" t="s">
        <v>52</v>
      </c>
      <c r="O81">
        <v>5175.4352639999997</v>
      </c>
      <c r="P81">
        <v>5082.079232</v>
      </c>
      <c r="Q81">
        <v>4965.257216</v>
      </c>
      <c r="R81">
        <v>1221.1773439999999</v>
      </c>
      <c r="S81">
        <v>1233.9363840000001</v>
      </c>
      <c r="T81">
        <v>177.225728</v>
      </c>
      <c r="U81">
        <v>150.07744</v>
      </c>
      <c r="V81">
        <v>133.83270400000001</v>
      </c>
      <c r="W81">
        <v>136.25344000000001</v>
      </c>
      <c r="X81">
        <v>136.43776</v>
      </c>
      <c r="Y81">
        <v>138.21132800000001</v>
      </c>
      <c r="Z81">
        <v>11.853823999999999</v>
      </c>
      <c r="AA81">
        <v>10.801152</v>
      </c>
      <c r="AB81">
        <v>10.940416000000001</v>
      </c>
      <c r="AC81">
        <v>10.42432</v>
      </c>
      <c r="AD81">
        <v>10.956799999999999</v>
      </c>
      <c r="AE81">
        <v>10.416128</v>
      </c>
    </row>
    <row r="82" spans="1:31" x14ac:dyDescent="0.3">
      <c r="A82" t="s">
        <v>88</v>
      </c>
      <c r="B82">
        <v>220.38527999999999</v>
      </c>
      <c r="C82">
        <v>32017.104895999997</v>
      </c>
      <c r="D82">
        <v>4756.5660159999998</v>
      </c>
      <c r="E82">
        <v>5159.788544</v>
      </c>
      <c r="F82">
        <v>5083.1114239999997</v>
      </c>
      <c r="G82">
        <v>7407.4275839999991</v>
      </c>
      <c r="H82">
        <v>894.24281599999995</v>
      </c>
      <c r="I82">
        <v>65.310720000000003</v>
      </c>
      <c r="J82">
        <v>10853.916671999999</v>
      </c>
      <c r="K82">
        <v>10437.795840000001</v>
      </c>
      <c r="L82">
        <v>10725.392384000001</v>
      </c>
      <c r="M82">
        <v>4756.5660159999998</v>
      </c>
      <c r="N82" t="s">
        <v>52</v>
      </c>
      <c r="O82">
        <v>5159.788544</v>
      </c>
      <c r="P82">
        <v>5083.1114239999997</v>
      </c>
      <c r="Q82">
        <v>4956.7088640000002</v>
      </c>
      <c r="R82">
        <v>1226.2768639999999</v>
      </c>
      <c r="S82">
        <v>1224.4418559999999</v>
      </c>
      <c r="T82">
        <v>173.473792</v>
      </c>
      <c r="U82">
        <v>146.530304</v>
      </c>
      <c r="V82">
        <v>144.09318400000001</v>
      </c>
      <c r="W82">
        <v>144.77721600000001</v>
      </c>
      <c r="X82">
        <v>139.452416</v>
      </c>
      <c r="Y82">
        <v>145.91590400000001</v>
      </c>
      <c r="Z82">
        <v>11.862016000000001</v>
      </c>
      <c r="AA82">
        <v>10.436608</v>
      </c>
      <c r="AB82">
        <v>11.231232</v>
      </c>
      <c r="AC82">
        <v>10.420223999999999</v>
      </c>
      <c r="AD82">
        <v>10.948608</v>
      </c>
      <c r="AE82">
        <v>10.412032</v>
      </c>
    </row>
    <row r="83" spans="1:31" x14ac:dyDescent="0.3">
      <c r="A83" t="s">
        <v>89</v>
      </c>
      <c r="B83">
        <v>215.990272</v>
      </c>
      <c r="C83">
        <v>22435.409919999998</v>
      </c>
      <c r="D83">
        <v>5687.5376640000004</v>
      </c>
      <c r="E83">
        <v>5156.0857599999999</v>
      </c>
      <c r="F83">
        <v>5100.7201279999999</v>
      </c>
      <c r="G83">
        <v>7419.8630400000002</v>
      </c>
      <c r="H83">
        <v>971.09196799999995</v>
      </c>
      <c r="I83">
        <v>65.343488000000008</v>
      </c>
      <c r="J83">
        <v>10461.16352</v>
      </c>
      <c r="K83">
        <v>1188.982784</v>
      </c>
      <c r="L83">
        <v>10785.263616</v>
      </c>
      <c r="M83">
        <v>5687.5376640000004</v>
      </c>
      <c r="N83" t="s">
        <v>52</v>
      </c>
      <c r="O83">
        <v>5156.0857599999999</v>
      </c>
      <c r="P83">
        <v>5100.7201279999999</v>
      </c>
      <c r="Q83">
        <v>4972.0401920000004</v>
      </c>
      <c r="R83">
        <v>1218.9040640000001</v>
      </c>
      <c r="S83">
        <v>1228.918784</v>
      </c>
      <c r="T83">
        <v>196.04275200000001</v>
      </c>
      <c r="U83">
        <v>139.80467200000001</v>
      </c>
      <c r="V83">
        <v>134.65600000000001</v>
      </c>
      <c r="W83">
        <v>140.85734400000001</v>
      </c>
      <c r="X83">
        <v>137.51091199999999</v>
      </c>
      <c r="Y83">
        <v>222.22028800000001</v>
      </c>
      <c r="Z83">
        <v>12.099584</v>
      </c>
      <c r="AA83">
        <v>10.514431999999999</v>
      </c>
      <c r="AB83">
        <v>10.960896</v>
      </c>
      <c r="AC83">
        <v>10.403840000000001</v>
      </c>
      <c r="AD83">
        <v>10.964992000000001</v>
      </c>
      <c r="AE83">
        <v>10.399744</v>
      </c>
    </row>
    <row r="84" spans="1:31" x14ac:dyDescent="0.3">
      <c r="A84" t="s">
        <v>90</v>
      </c>
      <c r="B84">
        <v>207.003648</v>
      </c>
      <c r="C84">
        <v>22422.380544</v>
      </c>
      <c r="D84">
        <v>1472.2580479999999</v>
      </c>
      <c r="E84">
        <v>5131.575296</v>
      </c>
      <c r="F84">
        <v>5048.946688</v>
      </c>
      <c r="G84">
        <v>7422.7138560000003</v>
      </c>
      <c r="H84">
        <v>865.85753599999998</v>
      </c>
      <c r="I84">
        <v>63.102975999999998</v>
      </c>
      <c r="J84">
        <v>10457.276416000001</v>
      </c>
      <c r="K84">
        <v>1120.8990719999999</v>
      </c>
      <c r="L84">
        <v>10844.205056000001</v>
      </c>
      <c r="M84">
        <v>1472.2580479999999</v>
      </c>
      <c r="N84" t="s">
        <v>52</v>
      </c>
      <c r="O84">
        <v>5131.575296</v>
      </c>
      <c r="P84">
        <v>5048.946688</v>
      </c>
      <c r="Q84">
        <v>4968.1285120000002</v>
      </c>
      <c r="R84">
        <v>1221.644288</v>
      </c>
      <c r="S84">
        <v>1232.9410559999999</v>
      </c>
      <c r="T84">
        <v>152.387584</v>
      </c>
      <c r="U84">
        <v>141.70931200000001</v>
      </c>
      <c r="V84">
        <v>143.003648</v>
      </c>
      <c r="W84">
        <v>140.54195200000001</v>
      </c>
      <c r="X84">
        <v>149.34835200000001</v>
      </c>
      <c r="Y84">
        <v>138.86668800000001</v>
      </c>
      <c r="Z84">
        <v>10.420223999999999</v>
      </c>
      <c r="AA84">
        <v>9.6296959999999991</v>
      </c>
      <c r="AB84">
        <v>10.969087999999999</v>
      </c>
      <c r="AC84">
        <v>10.436608</v>
      </c>
      <c r="AD84">
        <v>11.227136</v>
      </c>
      <c r="AE84">
        <v>10.420223999999999</v>
      </c>
    </row>
    <row r="85" spans="1:31" x14ac:dyDescent="0.3">
      <c r="A85" t="s">
        <v>92</v>
      </c>
      <c r="B85">
        <v>212.123648</v>
      </c>
      <c r="C85">
        <v>13032.337408000001</v>
      </c>
      <c r="D85">
        <v>1516.019712</v>
      </c>
      <c r="E85">
        <v>5104.7464959999998</v>
      </c>
      <c r="F85">
        <v>5044.5393919999997</v>
      </c>
      <c r="G85">
        <v>7416.2339840000004</v>
      </c>
      <c r="H85">
        <v>1158.2013440000001</v>
      </c>
      <c r="I85">
        <v>71.565312000000006</v>
      </c>
      <c r="J85">
        <v>10492.657664</v>
      </c>
      <c r="K85">
        <v>1391.8822399999999</v>
      </c>
      <c r="L85">
        <v>1147.7975039999999</v>
      </c>
      <c r="M85">
        <v>1516.019712</v>
      </c>
      <c r="N85" t="s">
        <v>52</v>
      </c>
      <c r="O85">
        <v>5104.7464959999998</v>
      </c>
      <c r="P85">
        <v>5044.5393919999997</v>
      </c>
      <c r="Q85">
        <v>4964.3970559999998</v>
      </c>
      <c r="R85">
        <v>1226.1662719999999</v>
      </c>
      <c r="S85">
        <v>1225.670656</v>
      </c>
      <c r="T85">
        <v>162.99622400000001</v>
      </c>
      <c r="U85">
        <v>263.46291200000002</v>
      </c>
      <c r="V85">
        <v>140.22656000000001</v>
      </c>
      <c r="W85">
        <v>146.03059200000001</v>
      </c>
      <c r="X85">
        <v>138.90764799999999</v>
      </c>
      <c r="Y85">
        <v>306.57740799999999</v>
      </c>
      <c r="Z85">
        <v>11.575296</v>
      </c>
      <c r="AA85">
        <v>14.802944</v>
      </c>
      <c r="AB85">
        <v>11.034624000000001</v>
      </c>
      <c r="AC85">
        <v>10.42432</v>
      </c>
      <c r="AD85">
        <v>13.02528</v>
      </c>
      <c r="AE85">
        <v>10.702847999999999</v>
      </c>
    </row>
    <row r="86" spans="1:31" x14ac:dyDescent="0.3">
      <c r="A86" t="s">
        <v>93</v>
      </c>
      <c r="B86">
        <v>220.49587199999999</v>
      </c>
      <c r="C86">
        <v>22490.091519999998</v>
      </c>
      <c r="D86">
        <v>1993.805824</v>
      </c>
      <c r="E86">
        <v>5146.6362880000006</v>
      </c>
      <c r="F86">
        <v>5045.6002559999997</v>
      </c>
      <c r="G86">
        <v>7428.112384</v>
      </c>
      <c r="H86">
        <v>1041.3424640000001</v>
      </c>
      <c r="I86">
        <v>65.642495999999994</v>
      </c>
      <c r="J86">
        <v>10468.679679999999</v>
      </c>
      <c r="K86">
        <v>1122.4555519999999</v>
      </c>
      <c r="L86">
        <v>10898.956287999999</v>
      </c>
      <c r="M86">
        <v>1993.805824</v>
      </c>
      <c r="N86" t="s">
        <v>52</v>
      </c>
      <c r="O86">
        <v>5146.6362880000006</v>
      </c>
      <c r="P86">
        <v>5045.6002559999997</v>
      </c>
      <c r="Q86">
        <v>4977.6353280000003</v>
      </c>
      <c r="R86">
        <v>1223.1434240000001</v>
      </c>
      <c r="S86">
        <v>1227.3336320000001</v>
      </c>
      <c r="T86">
        <v>191.13574399999999</v>
      </c>
      <c r="U86">
        <v>140.49689599999999</v>
      </c>
      <c r="V86">
        <v>286.43328000000002</v>
      </c>
      <c r="W86">
        <v>142.00832</v>
      </c>
      <c r="X86">
        <v>147.95571200000001</v>
      </c>
      <c r="Y86">
        <v>133.312512</v>
      </c>
      <c r="Z86">
        <v>12.095488</v>
      </c>
      <c r="AA86">
        <v>10.436608</v>
      </c>
      <c r="AB86">
        <v>11.01824</v>
      </c>
      <c r="AC86">
        <v>10.678272</v>
      </c>
      <c r="AD86">
        <v>10.944512</v>
      </c>
      <c r="AE86">
        <v>10.469376</v>
      </c>
    </row>
    <row r="87" spans="1:31" x14ac:dyDescent="0.3">
      <c r="A87" t="s">
        <v>94</v>
      </c>
      <c r="B87">
        <v>215.03590399999999</v>
      </c>
      <c r="C87">
        <v>31940.730879999999</v>
      </c>
      <c r="D87">
        <v>1976.1602559999999</v>
      </c>
      <c r="E87">
        <v>5128.5196800000003</v>
      </c>
      <c r="F87">
        <v>5059.2153600000001</v>
      </c>
      <c r="G87">
        <v>7414.7061759999997</v>
      </c>
      <c r="H87">
        <v>896.36864000000003</v>
      </c>
      <c r="I87">
        <v>67.338239999999999</v>
      </c>
      <c r="J87">
        <v>10468.147199999999</v>
      </c>
      <c r="K87">
        <v>10491.67872</v>
      </c>
      <c r="L87">
        <v>10980.90496</v>
      </c>
      <c r="M87">
        <v>1976.1602559999999</v>
      </c>
      <c r="N87" t="s">
        <v>52</v>
      </c>
      <c r="O87">
        <v>5128.5196800000003</v>
      </c>
      <c r="P87">
        <v>5059.2153600000001</v>
      </c>
      <c r="Q87">
        <v>4957.3027840000004</v>
      </c>
      <c r="R87">
        <v>1225.68704</v>
      </c>
      <c r="S87">
        <v>1231.7163519999999</v>
      </c>
      <c r="T87">
        <v>176.910336</v>
      </c>
      <c r="U87">
        <v>143.67948799999999</v>
      </c>
      <c r="V87">
        <v>140.41087999999999</v>
      </c>
      <c r="W87">
        <v>153.08799999999999</v>
      </c>
      <c r="X87">
        <v>142.36876799999999</v>
      </c>
      <c r="Y87">
        <v>139.911168</v>
      </c>
      <c r="Z87">
        <v>11.845632</v>
      </c>
      <c r="AA87">
        <v>10.526719999999999</v>
      </c>
      <c r="AB87">
        <v>12.754944</v>
      </c>
      <c r="AC87">
        <v>10.452992</v>
      </c>
      <c r="AD87">
        <v>11.251711999999999</v>
      </c>
      <c r="AE87">
        <v>10.50624</v>
      </c>
    </row>
    <row r="88" spans="1:31" x14ac:dyDescent="0.3">
      <c r="A88" t="s">
        <v>95</v>
      </c>
      <c r="B88">
        <v>212.58649600000001</v>
      </c>
      <c r="C88">
        <v>22575.972352000001</v>
      </c>
      <c r="D88">
        <v>2732.834816</v>
      </c>
      <c r="E88">
        <v>5132.8614400000006</v>
      </c>
      <c r="F88">
        <v>5059.8338560000002</v>
      </c>
      <c r="G88">
        <v>7407.3292799999999</v>
      </c>
      <c r="H88">
        <v>979.12012800000025</v>
      </c>
      <c r="I88">
        <v>65.347583999999998</v>
      </c>
      <c r="J88">
        <v>10457.051136</v>
      </c>
      <c r="K88">
        <v>1491.53792</v>
      </c>
      <c r="L88">
        <v>10627.383296</v>
      </c>
      <c r="M88">
        <v>2732.834816</v>
      </c>
      <c r="N88" t="s">
        <v>52</v>
      </c>
      <c r="O88">
        <v>5132.8614400000006</v>
      </c>
      <c r="P88">
        <v>5059.8338560000002</v>
      </c>
      <c r="Q88">
        <v>4958.4660480000002</v>
      </c>
      <c r="R88">
        <v>1227.5179519999999</v>
      </c>
      <c r="S88">
        <v>1221.34528</v>
      </c>
      <c r="T88">
        <v>277.34016000000003</v>
      </c>
      <c r="U88">
        <v>150.478848</v>
      </c>
      <c r="V88">
        <v>137.576448</v>
      </c>
      <c r="W88">
        <v>140.57062400000001</v>
      </c>
      <c r="X88">
        <v>133.15276800000001</v>
      </c>
      <c r="Y88">
        <v>140.00128000000001</v>
      </c>
      <c r="Z88">
        <v>11.595776000000001</v>
      </c>
      <c r="AA88">
        <v>10.530816</v>
      </c>
      <c r="AB88">
        <v>11.20256</v>
      </c>
      <c r="AC88">
        <v>10.407935999999999</v>
      </c>
      <c r="AD88">
        <v>11.198464</v>
      </c>
      <c r="AE88">
        <v>10.412032</v>
      </c>
    </row>
    <row r="89" spans="1:31" x14ac:dyDescent="0.3">
      <c r="A89" t="s">
        <v>96</v>
      </c>
      <c r="B89">
        <v>212.635648</v>
      </c>
      <c r="C89">
        <v>13378.523136</v>
      </c>
      <c r="D89">
        <v>3784.8514559999999</v>
      </c>
      <c r="E89">
        <v>5124.3909120000008</v>
      </c>
      <c r="F89">
        <v>5063.7987839999996</v>
      </c>
      <c r="G89">
        <v>7407.4685440000003</v>
      </c>
      <c r="H89">
        <v>895.50848000000008</v>
      </c>
      <c r="I89">
        <v>67.989504000000011</v>
      </c>
      <c r="J89">
        <v>10714.685439999999</v>
      </c>
      <c r="K89">
        <v>1235.468288</v>
      </c>
      <c r="L89">
        <v>1428.369408</v>
      </c>
      <c r="M89">
        <v>3784.8514559999999</v>
      </c>
      <c r="N89" t="s">
        <v>52</v>
      </c>
      <c r="O89">
        <v>5124.3909120000008</v>
      </c>
      <c r="P89">
        <v>5063.7987839999996</v>
      </c>
      <c r="Q89">
        <v>4960.7434240000002</v>
      </c>
      <c r="R89">
        <v>1224.6466559999999</v>
      </c>
      <c r="S89">
        <v>1222.0784639999999</v>
      </c>
      <c r="T89">
        <v>177.20115200000001</v>
      </c>
      <c r="U89">
        <v>150.335488</v>
      </c>
      <c r="V89">
        <v>135.00416000000001</v>
      </c>
      <c r="W89">
        <v>152.158208</v>
      </c>
      <c r="X89">
        <v>141.74207999999999</v>
      </c>
      <c r="Y89">
        <v>139.06739200000001</v>
      </c>
      <c r="Z89">
        <v>12.046336</v>
      </c>
      <c r="AA89">
        <v>10.776576</v>
      </c>
      <c r="AB89">
        <v>13.021184</v>
      </c>
      <c r="AC89">
        <v>10.416128</v>
      </c>
      <c r="AD89">
        <v>10.93632</v>
      </c>
      <c r="AE89">
        <v>10.792960000000001</v>
      </c>
    </row>
    <row r="90" spans="1:31" x14ac:dyDescent="0.3">
      <c r="A90" t="s">
        <v>97</v>
      </c>
      <c r="B90">
        <v>215.842816</v>
      </c>
      <c r="C90">
        <v>32769.658879999995</v>
      </c>
      <c r="D90">
        <v>3520.90112</v>
      </c>
      <c r="E90">
        <v>5160.8453119999995</v>
      </c>
      <c r="F90">
        <v>5072.7239680000002</v>
      </c>
      <c r="G90">
        <v>7415.5130879999997</v>
      </c>
      <c r="H90">
        <v>866.01318399999991</v>
      </c>
      <c r="I90">
        <v>65.228800000000007</v>
      </c>
      <c r="J90">
        <v>10820.341759999999</v>
      </c>
      <c r="K90">
        <v>11016.077311999999</v>
      </c>
      <c r="L90">
        <v>10933.239808</v>
      </c>
      <c r="M90">
        <v>3520.90112</v>
      </c>
      <c r="N90" t="s">
        <v>52</v>
      </c>
      <c r="O90">
        <v>5160.8453119999995</v>
      </c>
      <c r="P90">
        <v>5072.7239680000002</v>
      </c>
      <c r="Q90">
        <v>4963.1436800000001</v>
      </c>
      <c r="R90">
        <v>1229.0334720000001</v>
      </c>
      <c r="S90">
        <v>1223.3359359999999</v>
      </c>
      <c r="T90">
        <v>183.57452799999999</v>
      </c>
      <c r="U90">
        <v>138.15398400000001</v>
      </c>
      <c r="V90">
        <v>133.91872000000001</v>
      </c>
      <c r="W90">
        <v>139.32543999999999</v>
      </c>
      <c r="X90">
        <v>136.388608</v>
      </c>
      <c r="Y90">
        <v>134.651904</v>
      </c>
      <c r="Z90">
        <v>11.73504</v>
      </c>
      <c r="AA90">
        <v>10.747904</v>
      </c>
      <c r="AB90">
        <v>10.960896</v>
      </c>
      <c r="AC90">
        <v>10.412032</v>
      </c>
      <c r="AD90">
        <v>10.960896</v>
      </c>
      <c r="AE90">
        <v>10.412032</v>
      </c>
    </row>
    <row r="91" spans="1:31" x14ac:dyDescent="0.3">
      <c r="A91" t="s">
        <v>98</v>
      </c>
      <c r="B91">
        <v>216.54323199999999</v>
      </c>
      <c r="C91">
        <v>32376.905728000002</v>
      </c>
      <c r="D91">
        <v>4097.7407999999996</v>
      </c>
      <c r="E91">
        <v>5160.2063359999993</v>
      </c>
      <c r="F91">
        <v>5065.9696640000002</v>
      </c>
      <c r="G91">
        <v>7419.3182719999995</v>
      </c>
      <c r="H91">
        <v>894.17727999999988</v>
      </c>
      <c r="I91">
        <v>65.339392000000004</v>
      </c>
      <c r="J91">
        <v>10930.003968000001</v>
      </c>
      <c r="K91">
        <v>10785.611776</v>
      </c>
      <c r="L91">
        <v>10661.289983999999</v>
      </c>
      <c r="M91">
        <v>4097.7407999999996</v>
      </c>
      <c r="N91" t="s">
        <v>52</v>
      </c>
      <c r="O91">
        <v>5160.2063359999993</v>
      </c>
      <c r="P91">
        <v>5065.9696640000002</v>
      </c>
      <c r="Q91">
        <v>4968.628224</v>
      </c>
      <c r="R91">
        <v>1223.0246400000001</v>
      </c>
      <c r="S91">
        <v>1227.6654080000001</v>
      </c>
      <c r="T91">
        <v>181.73132799999999</v>
      </c>
      <c r="U91">
        <v>143.79007999999999</v>
      </c>
      <c r="V91">
        <v>141.643776</v>
      </c>
      <c r="W91">
        <v>139.112448</v>
      </c>
      <c r="X91">
        <v>148.25062399999999</v>
      </c>
      <c r="Y91">
        <v>139.649024</v>
      </c>
      <c r="Z91">
        <v>11.841536</v>
      </c>
      <c r="AA91">
        <v>10.686464000000001</v>
      </c>
      <c r="AB91">
        <v>10.948608</v>
      </c>
      <c r="AC91">
        <v>10.46528</v>
      </c>
      <c r="AD91">
        <v>10.981375999999999</v>
      </c>
      <c r="AE91">
        <v>10.416128</v>
      </c>
    </row>
    <row r="92" spans="1:31" x14ac:dyDescent="0.3">
      <c r="A92" t="s">
        <v>99</v>
      </c>
      <c r="B92">
        <v>219.394048</v>
      </c>
      <c r="C92">
        <v>32049.901568000001</v>
      </c>
      <c r="D92">
        <v>4115.1447040000003</v>
      </c>
      <c r="E92">
        <v>5135.6262399999996</v>
      </c>
      <c r="F92">
        <v>5074.4770559999997</v>
      </c>
      <c r="G92">
        <v>7414.2187519999998</v>
      </c>
      <c r="H92">
        <v>908.04223999999999</v>
      </c>
      <c r="I92">
        <v>64.684032000000002</v>
      </c>
      <c r="J92">
        <v>10781.06112</v>
      </c>
      <c r="K92">
        <v>10475.921408</v>
      </c>
      <c r="L92">
        <v>10792.919040000001</v>
      </c>
      <c r="M92">
        <v>4115.1447040000003</v>
      </c>
      <c r="N92" t="s">
        <v>52</v>
      </c>
      <c r="O92">
        <v>5135.6262399999996</v>
      </c>
      <c r="P92">
        <v>5074.4770559999997</v>
      </c>
      <c r="Q92">
        <v>4963.0289919999996</v>
      </c>
      <c r="R92">
        <v>1227.7719039999999</v>
      </c>
      <c r="S92">
        <v>1223.417856</v>
      </c>
      <c r="T92">
        <v>188.55936</v>
      </c>
      <c r="U92">
        <v>145.481728</v>
      </c>
      <c r="V92">
        <v>147.21024</v>
      </c>
      <c r="W92">
        <v>139.21484799999999</v>
      </c>
      <c r="X92">
        <v>141.643776</v>
      </c>
      <c r="Y92">
        <v>145.932288</v>
      </c>
      <c r="Z92">
        <v>11.34592</v>
      </c>
      <c r="AA92">
        <v>10.596352</v>
      </c>
      <c r="AB92">
        <v>10.956799999999999</v>
      </c>
      <c r="AC92">
        <v>10.452992</v>
      </c>
      <c r="AD92">
        <v>10.93632</v>
      </c>
      <c r="AE92">
        <v>10.395648</v>
      </c>
    </row>
    <row r="93" spans="1:31" x14ac:dyDescent="0.3">
      <c r="A93" t="s">
        <v>100</v>
      </c>
      <c r="B93">
        <v>217.00608</v>
      </c>
      <c r="C93">
        <v>32094.883840000002</v>
      </c>
      <c r="D93">
        <v>4750.7210240000004</v>
      </c>
      <c r="E93">
        <v>5160.3988479999998</v>
      </c>
      <c r="F93">
        <v>5094.4983039999997</v>
      </c>
      <c r="G93">
        <v>7415.4106879999999</v>
      </c>
      <c r="H93">
        <v>866.52518399999997</v>
      </c>
      <c r="I93">
        <v>65.773567999999997</v>
      </c>
      <c r="J93">
        <v>10645.307392000001</v>
      </c>
      <c r="K93">
        <v>10657.579008000001</v>
      </c>
      <c r="L93">
        <v>10791.997439999999</v>
      </c>
      <c r="M93">
        <v>4750.7210240000004</v>
      </c>
      <c r="N93" t="s">
        <v>52</v>
      </c>
      <c r="O93">
        <v>5160.3988479999998</v>
      </c>
      <c r="P93">
        <v>5094.4983039999997</v>
      </c>
      <c r="Q93">
        <v>4966.9857279999997</v>
      </c>
      <c r="R93">
        <v>1220.1984</v>
      </c>
      <c r="S93">
        <v>1228.2265600000001</v>
      </c>
      <c r="T93">
        <v>175.009792</v>
      </c>
      <c r="U93">
        <v>136.835072</v>
      </c>
      <c r="V93">
        <v>135.35231999999999</v>
      </c>
      <c r="W93">
        <v>143.47059200000001</v>
      </c>
      <c r="X93">
        <v>139.69817599999999</v>
      </c>
      <c r="Y93">
        <v>136.159232</v>
      </c>
      <c r="Z93">
        <v>11.34592</v>
      </c>
      <c r="AA93">
        <v>10.514431999999999</v>
      </c>
      <c r="AB93">
        <v>13.04576</v>
      </c>
      <c r="AC93">
        <v>9.6010240000000007</v>
      </c>
      <c r="AD93">
        <v>10.960896</v>
      </c>
      <c r="AE93">
        <v>10.305536</v>
      </c>
    </row>
    <row r="94" spans="1:31" x14ac:dyDescent="0.3">
      <c r="A94" t="s">
        <v>101</v>
      </c>
      <c r="B94">
        <v>219.082752</v>
      </c>
      <c r="C94">
        <v>13870.432256</v>
      </c>
      <c r="D94">
        <v>4850.0531199999996</v>
      </c>
      <c r="E94">
        <v>5171.9700479999992</v>
      </c>
      <c r="F94">
        <v>5070.3769599999996</v>
      </c>
      <c r="G94">
        <v>7417.5733760000003</v>
      </c>
      <c r="H94">
        <v>883.37203199999999</v>
      </c>
      <c r="I94">
        <v>65.617919999999998</v>
      </c>
      <c r="J94">
        <v>10813.956096</v>
      </c>
      <c r="K94">
        <v>1251.3239040000001</v>
      </c>
      <c r="L94">
        <v>1805.1522560000001</v>
      </c>
      <c r="M94">
        <v>4850.0531199999996</v>
      </c>
      <c r="N94" t="s">
        <v>52</v>
      </c>
      <c r="O94">
        <v>5171.9700479999992</v>
      </c>
      <c r="P94">
        <v>5070.3769599999996</v>
      </c>
      <c r="Q94">
        <v>4962.0049920000001</v>
      </c>
      <c r="R94">
        <v>1224.159232</v>
      </c>
      <c r="S94">
        <v>1231.4091519999999</v>
      </c>
      <c r="T94">
        <v>188.502016</v>
      </c>
      <c r="U94">
        <v>149.17632</v>
      </c>
      <c r="V94">
        <v>132.33766399999999</v>
      </c>
      <c r="W94">
        <v>140.394496</v>
      </c>
      <c r="X94">
        <v>132.972544</v>
      </c>
      <c r="Y94">
        <v>139.988992</v>
      </c>
      <c r="Z94">
        <v>12.414975999999999</v>
      </c>
      <c r="AA94">
        <v>10.46528</v>
      </c>
      <c r="AB94">
        <v>10.960896</v>
      </c>
      <c r="AC94">
        <v>10.428416</v>
      </c>
      <c r="AD94">
        <v>10.952704000000001</v>
      </c>
      <c r="AE94">
        <v>10.395648</v>
      </c>
    </row>
    <row r="95" spans="1:31" x14ac:dyDescent="0.3">
      <c r="A95" t="s">
        <v>102</v>
      </c>
      <c r="B95">
        <v>203.18208000000001</v>
      </c>
      <c r="C95">
        <v>51666.550784000006</v>
      </c>
      <c r="D95">
        <v>1469.509632</v>
      </c>
      <c r="E95">
        <v>5131.0100480000001</v>
      </c>
      <c r="F95">
        <v>5051.7565439999998</v>
      </c>
      <c r="G95">
        <v>7427.1989759999997</v>
      </c>
      <c r="H95">
        <v>1033.924608</v>
      </c>
      <c r="I95">
        <v>61.505535999999999</v>
      </c>
      <c r="J95">
        <v>29466.750976000003</v>
      </c>
      <c r="K95">
        <v>11134.988288</v>
      </c>
      <c r="L95">
        <v>11064.811519999999</v>
      </c>
      <c r="M95">
        <v>1469.509632</v>
      </c>
      <c r="N95" t="s">
        <v>52</v>
      </c>
      <c r="O95">
        <v>5131.0100480000001</v>
      </c>
      <c r="P95">
        <v>5051.7565439999998</v>
      </c>
      <c r="Q95">
        <v>4968.8862719999997</v>
      </c>
      <c r="R95">
        <v>1229.8158080000001</v>
      </c>
      <c r="S95">
        <v>1228.4968960000001</v>
      </c>
      <c r="T95">
        <v>199.35231999999999</v>
      </c>
      <c r="U95">
        <v>290.562048</v>
      </c>
      <c r="V95">
        <v>133.34937600000001</v>
      </c>
      <c r="W95">
        <v>138.95679999999999</v>
      </c>
      <c r="X95">
        <v>140.480512</v>
      </c>
      <c r="Y95">
        <v>131.22355200000001</v>
      </c>
      <c r="Z95">
        <v>10.432511999999999</v>
      </c>
      <c r="AA95">
        <v>9.6870399999999997</v>
      </c>
      <c r="AB95">
        <v>10.3424</v>
      </c>
      <c r="AC95">
        <v>9.6051199999999994</v>
      </c>
      <c r="AD95">
        <v>10.956799999999999</v>
      </c>
      <c r="AE95">
        <v>10.481664</v>
      </c>
    </row>
    <row r="96" spans="1:31" x14ac:dyDescent="0.3">
      <c r="A96" t="s">
        <v>103</v>
      </c>
      <c r="B96">
        <v>217.02246400000001</v>
      </c>
      <c r="C96">
        <v>51377.750015999998</v>
      </c>
      <c r="D96">
        <v>1995.669504</v>
      </c>
      <c r="E96">
        <v>5177.1187199999995</v>
      </c>
      <c r="F96">
        <v>5108.1461760000002</v>
      </c>
      <c r="G96">
        <v>7432.0814080000009</v>
      </c>
      <c r="H96">
        <v>882.39718399999992</v>
      </c>
      <c r="I96">
        <v>63.762432000000004</v>
      </c>
      <c r="J96">
        <v>29647.867903999999</v>
      </c>
      <c r="K96">
        <v>10720.468992</v>
      </c>
      <c r="L96">
        <v>11009.413119999999</v>
      </c>
      <c r="M96">
        <v>1995.669504</v>
      </c>
      <c r="N96" t="s">
        <v>52</v>
      </c>
      <c r="O96">
        <v>5177.1187199999995</v>
      </c>
      <c r="P96">
        <v>5108.1461760000002</v>
      </c>
      <c r="Q96">
        <v>4968.9804800000002</v>
      </c>
      <c r="R96">
        <v>1234.456576</v>
      </c>
      <c r="S96">
        <v>1228.644352</v>
      </c>
      <c r="T96">
        <v>164.98688000000001</v>
      </c>
      <c r="U96">
        <v>152.29337599999999</v>
      </c>
      <c r="V96">
        <v>137.39622399999999</v>
      </c>
      <c r="W96">
        <v>145.68243200000001</v>
      </c>
      <c r="X96">
        <v>141.18912</v>
      </c>
      <c r="Y96">
        <v>140.849152</v>
      </c>
      <c r="Z96">
        <v>11.649024000000001</v>
      </c>
      <c r="AA96">
        <v>10.256384000000001</v>
      </c>
      <c r="AB96">
        <v>10.522624</v>
      </c>
      <c r="AC96">
        <v>9.6174079999999993</v>
      </c>
      <c r="AD96">
        <v>10.985472</v>
      </c>
      <c r="AE96">
        <v>10.73152</v>
      </c>
    </row>
    <row r="97" spans="1:31" x14ac:dyDescent="0.3">
      <c r="A97" t="s">
        <v>104</v>
      </c>
      <c r="B97">
        <v>218.804224</v>
      </c>
      <c r="C97">
        <v>41650.954240000006</v>
      </c>
      <c r="D97">
        <v>2785.353728</v>
      </c>
      <c r="E97">
        <v>5289.877504</v>
      </c>
      <c r="F97">
        <v>5161.4638080000004</v>
      </c>
      <c r="G97">
        <v>7403.7452800000001</v>
      </c>
      <c r="H97">
        <v>904.44595200000003</v>
      </c>
      <c r="I97">
        <v>63.852544000000002</v>
      </c>
      <c r="J97">
        <v>29254.103040000002</v>
      </c>
      <c r="K97">
        <v>1918.2346239999999</v>
      </c>
      <c r="L97">
        <v>10478.616576</v>
      </c>
      <c r="M97">
        <v>2785.353728</v>
      </c>
      <c r="N97" t="s">
        <v>52</v>
      </c>
      <c r="O97">
        <v>5289.877504</v>
      </c>
      <c r="P97">
        <v>5161.4638080000004</v>
      </c>
      <c r="Q97">
        <v>4958.756864</v>
      </c>
      <c r="R97">
        <v>1218.39616</v>
      </c>
      <c r="S97">
        <v>1226.5922559999999</v>
      </c>
      <c r="T97">
        <v>160.90316799999999</v>
      </c>
      <c r="U97">
        <v>149.49580800000001</v>
      </c>
      <c r="V97">
        <v>153.64915199999999</v>
      </c>
      <c r="W97">
        <v>147.21024</v>
      </c>
      <c r="X97">
        <v>146.03878399999999</v>
      </c>
      <c r="Y97">
        <v>147.14879999999999</v>
      </c>
      <c r="Z97">
        <v>11.845632</v>
      </c>
      <c r="AA97">
        <v>10.481664</v>
      </c>
      <c r="AB97">
        <v>10.416128</v>
      </c>
      <c r="AC97">
        <v>9.6296959999999991</v>
      </c>
      <c r="AD97">
        <v>11.059200000000001</v>
      </c>
      <c r="AE97">
        <v>10.420223999999999</v>
      </c>
    </row>
    <row r="98" spans="1:31" x14ac:dyDescent="0.3">
      <c r="A98" t="s">
        <v>105</v>
      </c>
      <c r="B98">
        <v>218.74688</v>
      </c>
      <c r="C98">
        <v>51188.428800000002</v>
      </c>
      <c r="D98">
        <v>3107.9423999999999</v>
      </c>
      <c r="E98">
        <v>5545.2139520000001</v>
      </c>
      <c r="F98">
        <v>5224.1285120000002</v>
      </c>
      <c r="G98">
        <v>7422.4230399999997</v>
      </c>
      <c r="H98">
        <v>1033.629696</v>
      </c>
      <c r="I98">
        <v>65.970176000000009</v>
      </c>
      <c r="J98">
        <v>29394.808831999999</v>
      </c>
      <c r="K98">
        <v>11106.63168</v>
      </c>
      <c r="L98">
        <v>10686.988288</v>
      </c>
      <c r="M98">
        <v>3107.9423999999999</v>
      </c>
      <c r="N98" t="s">
        <v>52</v>
      </c>
      <c r="O98">
        <v>5545.2139520000001</v>
      </c>
      <c r="P98">
        <v>5224.1285120000002</v>
      </c>
      <c r="Q98">
        <v>4967.2110080000002</v>
      </c>
      <c r="R98">
        <v>1227.5097599999999</v>
      </c>
      <c r="S98">
        <v>1227.702272</v>
      </c>
      <c r="T98">
        <v>164.50355200000001</v>
      </c>
      <c r="U98">
        <v>140.86553599999999</v>
      </c>
      <c r="V98">
        <v>146.94809599999999</v>
      </c>
      <c r="W98">
        <v>144.47001599999999</v>
      </c>
      <c r="X98">
        <v>286.33497599999998</v>
      </c>
      <c r="Y98">
        <v>150.50752</v>
      </c>
      <c r="Z98">
        <v>14.192640000000001</v>
      </c>
      <c r="AA98">
        <v>10.416128</v>
      </c>
      <c r="AB98">
        <v>10.207231999999999</v>
      </c>
      <c r="AC98">
        <v>9.6624639999999999</v>
      </c>
      <c r="AD98">
        <v>11.026432</v>
      </c>
      <c r="AE98">
        <v>10.46528</v>
      </c>
    </row>
    <row r="99" spans="1:31" x14ac:dyDescent="0.3">
      <c r="A99" t="s">
        <v>106</v>
      </c>
      <c r="B99">
        <v>233.775104</v>
      </c>
      <c r="C99">
        <v>50623.979520000001</v>
      </c>
      <c r="D99">
        <v>5391.83104</v>
      </c>
      <c r="E99">
        <v>6147.5676160000003</v>
      </c>
      <c r="F99">
        <v>6100.9018880000003</v>
      </c>
      <c r="G99">
        <v>7416.9999360000002</v>
      </c>
      <c r="H99">
        <v>881.97529600000007</v>
      </c>
      <c r="I99">
        <v>66.232320000000001</v>
      </c>
      <c r="J99">
        <v>29612.220416</v>
      </c>
      <c r="K99">
        <v>10534.649856</v>
      </c>
      <c r="L99">
        <v>10477.109248000001</v>
      </c>
      <c r="M99">
        <v>5391.83104</v>
      </c>
      <c r="N99" t="s">
        <v>52</v>
      </c>
      <c r="O99">
        <v>6147.5676160000003</v>
      </c>
      <c r="P99">
        <v>6100.9018880000003</v>
      </c>
      <c r="Q99">
        <v>4963.4508800000003</v>
      </c>
      <c r="R99">
        <v>1226.8052479999999</v>
      </c>
      <c r="S99">
        <v>1226.7438079999999</v>
      </c>
      <c r="T99">
        <v>153.47302400000001</v>
      </c>
      <c r="U99">
        <v>149.25824</v>
      </c>
      <c r="V99">
        <v>145.53088</v>
      </c>
      <c r="W99">
        <v>141.03756799999999</v>
      </c>
      <c r="X99">
        <v>150.63040000000001</v>
      </c>
      <c r="Y99">
        <v>142.04518400000001</v>
      </c>
      <c r="Z99">
        <v>14.229504</v>
      </c>
      <c r="AA99">
        <v>10.534912</v>
      </c>
      <c r="AB99">
        <v>10.457088000000001</v>
      </c>
      <c r="AC99">
        <v>9.6051199999999994</v>
      </c>
      <c r="AD99">
        <v>10.973184</v>
      </c>
      <c r="AE99">
        <v>10.432511999999999</v>
      </c>
    </row>
    <row r="100" spans="1:31" x14ac:dyDescent="0.3">
      <c r="A100" t="s">
        <v>107</v>
      </c>
      <c r="B100">
        <v>211.51743999999999</v>
      </c>
      <c r="C100">
        <v>41827.426304000001</v>
      </c>
      <c r="D100">
        <v>4575.37536</v>
      </c>
      <c r="E100">
        <v>8055.1935999999996</v>
      </c>
      <c r="F100">
        <v>7960.8053760000003</v>
      </c>
      <c r="G100">
        <v>7411.9700479999992</v>
      </c>
      <c r="H100">
        <v>872.02201600000001</v>
      </c>
      <c r="I100">
        <v>63.307775999999997</v>
      </c>
      <c r="J100">
        <v>29574.156288000002</v>
      </c>
      <c r="K100">
        <v>10998.013951999999</v>
      </c>
      <c r="L100">
        <v>1255.2560639999999</v>
      </c>
      <c r="M100">
        <v>4575.37536</v>
      </c>
      <c r="N100" t="s">
        <v>52</v>
      </c>
      <c r="O100">
        <v>8055.1935999999996</v>
      </c>
      <c r="P100">
        <v>7960.8053760000003</v>
      </c>
      <c r="Q100">
        <v>4967.8254079999997</v>
      </c>
      <c r="R100">
        <v>1224.413184</v>
      </c>
      <c r="S100">
        <v>1219.731456</v>
      </c>
      <c r="T100">
        <v>147.58707200000001</v>
      </c>
      <c r="U100">
        <v>138.44479999999999</v>
      </c>
      <c r="V100">
        <v>168.73472000000001</v>
      </c>
      <c r="W100">
        <v>137.37984</v>
      </c>
      <c r="X100">
        <v>133.57875200000001</v>
      </c>
      <c r="Y100">
        <v>146.29683199999999</v>
      </c>
      <c r="Z100">
        <v>11.563008</v>
      </c>
      <c r="AA100">
        <v>10.379263999999999</v>
      </c>
      <c r="AB100">
        <v>10.133504</v>
      </c>
      <c r="AC100">
        <v>9.8467839999999995</v>
      </c>
      <c r="AD100">
        <v>10.97728</v>
      </c>
      <c r="AE100">
        <v>10.407935999999999</v>
      </c>
    </row>
    <row r="101" spans="1:31" x14ac:dyDescent="0.3">
      <c r="A101" t="s">
        <v>108</v>
      </c>
      <c r="B101">
        <v>224.55500799999999</v>
      </c>
      <c r="C101">
        <v>52493.889536000002</v>
      </c>
      <c r="D101">
        <v>4825.7064959999998</v>
      </c>
      <c r="E101">
        <v>8058.9168639999998</v>
      </c>
      <c r="F101">
        <v>7964.8931839999996</v>
      </c>
      <c r="G101">
        <v>7408.345088</v>
      </c>
      <c r="H101">
        <v>886.98880000000008</v>
      </c>
      <c r="I101">
        <v>63.971328</v>
      </c>
      <c r="J101">
        <v>29603.168256000001</v>
      </c>
      <c r="K101">
        <v>11788.886016</v>
      </c>
      <c r="L101">
        <v>11101.835263999999</v>
      </c>
      <c r="M101">
        <v>4825.7064959999998</v>
      </c>
      <c r="N101" t="s">
        <v>52</v>
      </c>
      <c r="O101">
        <v>8058.9168639999998</v>
      </c>
      <c r="P101">
        <v>7964.8931839999996</v>
      </c>
      <c r="Q101">
        <v>4961.2554239999999</v>
      </c>
      <c r="R101">
        <v>1218.9859839999999</v>
      </c>
      <c r="S101">
        <v>1228.1036799999999</v>
      </c>
      <c r="T101">
        <v>170.655744</v>
      </c>
      <c r="U101">
        <v>135.06969599999999</v>
      </c>
      <c r="V101">
        <v>144.596992</v>
      </c>
      <c r="W101">
        <v>143.941632</v>
      </c>
      <c r="X101">
        <v>146.71052800000001</v>
      </c>
      <c r="Y101">
        <v>146.014208</v>
      </c>
      <c r="Z101">
        <v>11.784192000000001</v>
      </c>
      <c r="AA101">
        <v>10.682368</v>
      </c>
      <c r="AB101">
        <v>10.428416</v>
      </c>
      <c r="AC101">
        <v>9.5969280000000001</v>
      </c>
      <c r="AD101">
        <v>11.014144</v>
      </c>
      <c r="AE101">
        <v>10.46528</v>
      </c>
    </row>
    <row r="102" spans="1:31" x14ac:dyDescent="0.3">
      <c r="A102" t="s">
        <v>109</v>
      </c>
      <c r="B102">
        <v>217.70240000000001</v>
      </c>
      <c r="C102">
        <v>51839.913983999999</v>
      </c>
      <c r="D102">
        <v>5485.6908800000001</v>
      </c>
      <c r="E102">
        <v>8054.6570240000001</v>
      </c>
      <c r="F102">
        <v>7990.7102720000003</v>
      </c>
      <c r="G102">
        <v>7412.9817599999997</v>
      </c>
      <c r="H102">
        <v>854.40921600000001</v>
      </c>
      <c r="I102">
        <v>64.065536000000009</v>
      </c>
      <c r="J102">
        <v>29404.475392</v>
      </c>
      <c r="K102">
        <v>11634.610176</v>
      </c>
      <c r="L102">
        <v>10800.828416</v>
      </c>
      <c r="M102">
        <v>5485.6908800000001</v>
      </c>
      <c r="N102" t="s">
        <v>52</v>
      </c>
      <c r="O102">
        <v>8054.6570240000001</v>
      </c>
      <c r="P102">
        <v>7990.7102720000003</v>
      </c>
      <c r="Q102">
        <v>4966.9447680000003</v>
      </c>
      <c r="R102">
        <v>1218.5804800000001</v>
      </c>
      <c r="S102">
        <v>1227.456512</v>
      </c>
      <c r="T102">
        <v>153.6</v>
      </c>
      <c r="U102">
        <v>141.07852800000001</v>
      </c>
      <c r="V102">
        <v>142.266368</v>
      </c>
      <c r="W102">
        <v>142.60223999999999</v>
      </c>
      <c r="X102">
        <v>133.423104</v>
      </c>
      <c r="Y102">
        <v>141.438976</v>
      </c>
      <c r="Z102">
        <v>12.062720000000001</v>
      </c>
      <c r="AA102">
        <v>10.760192</v>
      </c>
      <c r="AB102">
        <v>10.276864</v>
      </c>
      <c r="AC102">
        <v>9.5969280000000001</v>
      </c>
      <c r="AD102">
        <v>10.93632</v>
      </c>
      <c r="AE102">
        <v>10.432511999999999</v>
      </c>
    </row>
    <row r="103" spans="1:31" x14ac:dyDescent="0.3">
      <c r="A103" t="s">
        <v>110</v>
      </c>
      <c r="B103">
        <v>217.48121599999999</v>
      </c>
      <c r="C103">
        <v>51839.393792000003</v>
      </c>
      <c r="D103">
        <v>6091.6817920000003</v>
      </c>
      <c r="E103">
        <v>8027.3448959999996</v>
      </c>
      <c r="F103">
        <v>7975.9073280000002</v>
      </c>
      <c r="G103">
        <v>7421.6570879999999</v>
      </c>
      <c r="H103">
        <v>842.35059200000001</v>
      </c>
      <c r="I103">
        <v>63.275008</v>
      </c>
      <c r="J103">
        <v>29331.320832000001</v>
      </c>
      <c r="K103">
        <v>11364.823039999999</v>
      </c>
      <c r="L103">
        <v>11143.24992</v>
      </c>
      <c r="M103">
        <v>6091.6817920000003</v>
      </c>
      <c r="N103" t="s">
        <v>52</v>
      </c>
      <c r="O103">
        <v>8027.3448959999996</v>
      </c>
      <c r="P103">
        <v>7975.9073280000002</v>
      </c>
      <c r="Q103">
        <v>4971.757568</v>
      </c>
      <c r="R103">
        <v>1224.200192</v>
      </c>
      <c r="S103">
        <v>1225.6993279999999</v>
      </c>
      <c r="T103">
        <v>162.38182399999999</v>
      </c>
      <c r="U103">
        <v>135.25811200000001</v>
      </c>
      <c r="V103">
        <v>137.44128000000001</v>
      </c>
      <c r="W103">
        <v>139.792384</v>
      </c>
      <c r="X103">
        <v>133.94739200000001</v>
      </c>
      <c r="Y103">
        <v>133.52959999999999</v>
      </c>
      <c r="Z103">
        <v>11.542528000000001</v>
      </c>
      <c r="AA103">
        <v>10.50624</v>
      </c>
      <c r="AB103">
        <v>10.182656</v>
      </c>
      <c r="AC103">
        <v>9.6460799999999995</v>
      </c>
      <c r="AD103">
        <v>10.956799999999999</v>
      </c>
      <c r="AE103">
        <v>10.440704</v>
      </c>
    </row>
    <row r="104" spans="1:31" x14ac:dyDescent="0.3">
      <c r="A104" t="s">
        <v>111</v>
      </c>
      <c r="B104">
        <v>213.33196799999999</v>
      </c>
      <c r="C104">
        <v>51770.212352000002</v>
      </c>
      <c r="D104">
        <v>5786.1283839999996</v>
      </c>
      <c r="E104">
        <v>8005.2920320000003</v>
      </c>
      <c r="F104">
        <v>7958.3395840000003</v>
      </c>
      <c r="G104">
        <v>7419.9859200000001</v>
      </c>
      <c r="H104">
        <v>865.86163199999987</v>
      </c>
      <c r="I104">
        <v>63.991807999999999</v>
      </c>
      <c r="J104">
        <v>29334.568960000001</v>
      </c>
      <c r="K104">
        <v>11138.932736000001</v>
      </c>
      <c r="L104">
        <v>11296.710655999999</v>
      </c>
      <c r="M104">
        <v>5786.1283839999996</v>
      </c>
      <c r="N104" t="s">
        <v>52</v>
      </c>
      <c r="O104">
        <v>8005.2920320000003</v>
      </c>
      <c r="P104">
        <v>7958.3395840000003</v>
      </c>
      <c r="Q104">
        <v>4964.5568000000003</v>
      </c>
      <c r="R104">
        <v>1228.460032</v>
      </c>
      <c r="S104">
        <v>1226.9690880000001</v>
      </c>
      <c r="T104">
        <v>152.87910400000001</v>
      </c>
      <c r="U104">
        <v>146.980864</v>
      </c>
      <c r="V104">
        <v>142.835712</v>
      </c>
      <c r="W104">
        <v>136.98662400000001</v>
      </c>
      <c r="X104">
        <v>148.44313600000001</v>
      </c>
      <c r="Y104">
        <v>137.73619199999999</v>
      </c>
      <c r="Z104">
        <v>11.894784</v>
      </c>
      <c r="AA104">
        <v>10.543104</v>
      </c>
      <c r="AB104">
        <v>10.19904</v>
      </c>
      <c r="AC104">
        <v>9.6051199999999994</v>
      </c>
      <c r="AD104">
        <v>10.948608</v>
      </c>
      <c r="AE104">
        <v>10.801152</v>
      </c>
    </row>
    <row r="105" spans="1:31" x14ac:dyDescent="0.3">
      <c r="A105" t="s">
        <v>112</v>
      </c>
      <c r="B105">
        <v>221.91308799999999</v>
      </c>
      <c r="C105">
        <v>50542.006271999999</v>
      </c>
      <c r="D105">
        <v>7304.9251839999997</v>
      </c>
      <c r="E105">
        <v>8059.6377600000005</v>
      </c>
      <c r="F105">
        <v>7988.8465919999999</v>
      </c>
      <c r="G105">
        <v>7423.4511360000006</v>
      </c>
      <c r="H105">
        <v>1040.4577279999999</v>
      </c>
      <c r="I105">
        <v>64.475135999999992</v>
      </c>
      <c r="J105">
        <v>29161.263103999998</v>
      </c>
      <c r="K105">
        <v>10873.831424</v>
      </c>
      <c r="L105">
        <v>10506.911744000001</v>
      </c>
      <c r="M105">
        <v>7304.9251839999997</v>
      </c>
      <c r="N105" t="s">
        <v>52</v>
      </c>
      <c r="O105">
        <v>8059.6377600000005</v>
      </c>
      <c r="P105">
        <v>7988.8465919999999</v>
      </c>
      <c r="Q105">
        <v>4965.9781119999998</v>
      </c>
      <c r="R105">
        <v>1230.454784</v>
      </c>
      <c r="S105">
        <v>1227.0182400000001</v>
      </c>
      <c r="T105">
        <v>153.07980800000001</v>
      </c>
      <c r="U105">
        <v>140.31257600000001</v>
      </c>
      <c r="V105">
        <v>183.62777600000001</v>
      </c>
      <c r="W105">
        <v>278.32729599999999</v>
      </c>
      <c r="X105">
        <v>145.707008</v>
      </c>
      <c r="Y105">
        <v>139.40326400000001</v>
      </c>
      <c r="Z105">
        <v>11.862016000000001</v>
      </c>
      <c r="AA105">
        <v>10.571776</v>
      </c>
      <c r="AB105">
        <v>10.162176000000001</v>
      </c>
      <c r="AC105">
        <v>10.19904</v>
      </c>
      <c r="AD105">
        <v>10.981375999999999</v>
      </c>
      <c r="AE105">
        <v>10.698752000000001</v>
      </c>
    </row>
    <row r="106" spans="1:31" x14ac:dyDescent="0.3">
      <c r="A106" t="s">
        <v>113</v>
      </c>
      <c r="B106">
        <v>210.497536</v>
      </c>
      <c r="C106">
        <v>51602.092032</v>
      </c>
      <c r="D106">
        <v>6858.9731840000004</v>
      </c>
      <c r="E106">
        <v>8061.5628800000004</v>
      </c>
      <c r="F106">
        <v>7973.5275519999996</v>
      </c>
      <c r="G106">
        <v>7418.6629119999998</v>
      </c>
      <c r="H106">
        <v>840.03225599999996</v>
      </c>
      <c r="I106">
        <v>63.619072000000003</v>
      </c>
      <c r="J106">
        <v>29321.629696</v>
      </c>
      <c r="K106">
        <v>11145.875456</v>
      </c>
      <c r="L106">
        <v>11134.586880000001</v>
      </c>
      <c r="M106">
        <v>6858.9731840000004</v>
      </c>
      <c r="N106" t="s">
        <v>52</v>
      </c>
      <c r="O106">
        <v>8061.5628800000004</v>
      </c>
      <c r="P106">
        <v>7973.5275519999996</v>
      </c>
      <c r="Q106">
        <v>4961.9927040000002</v>
      </c>
      <c r="R106">
        <v>1226.7192319999999</v>
      </c>
      <c r="S106">
        <v>1229.9509760000001</v>
      </c>
      <c r="T106">
        <v>153.092096</v>
      </c>
      <c r="U106">
        <v>143.35590400000001</v>
      </c>
      <c r="V106">
        <v>134.46348800000001</v>
      </c>
      <c r="W106">
        <v>138.89945599999999</v>
      </c>
      <c r="X106">
        <v>134.21772799999999</v>
      </c>
      <c r="Y106">
        <v>136.00358399999999</v>
      </c>
      <c r="Z106">
        <v>11.722752</v>
      </c>
      <c r="AA106">
        <v>10.77248</v>
      </c>
      <c r="AB106">
        <v>10.145792</v>
      </c>
      <c r="AC106">
        <v>9.6256000000000004</v>
      </c>
      <c r="AD106">
        <v>10.952704000000001</v>
      </c>
      <c r="AE106">
        <v>10.399744</v>
      </c>
    </row>
    <row r="107" spans="1:31" x14ac:dyDescent="0.3">
      <c r="A107" t="s">
        <v>114</v>
      </c>
      <c r="B107">
        <v>212.45132799999999</v>
      </c>
      <c r="C107">
        <v>48844.980223999999</v>
      </c>
      <c r="D107">
        <v>7783.1659520000003</v>
      </c>
      <c r="E107">
        <v>8086.1839360000004</v>
      </c>
      <c r="F107">
        <v>7982.6493440000004</v>
      </c>
      <c r="G107">
        <v>7421.4318079999994</v>
      </c>
      <c r="H107">
        <v>898.51084800000001</v>
      </c>
      <c r="I107">
        <v>63.799295999999998</v>
      </c>
      <c r="J107">
        <v>29810.130944</v>
      </c>
      <c r="K107">
        <v>8021.5408639999996</v>
      </c>
      <c r="L107">
        <v>11013.308416</v>
      </c>
      <c r="M107">
        <v>7783.1659520000003</v>
      </c>
      <c r="N107" t="s">
        <v>52</v>
      </c>
      <c r="O107">
        <v>8086.1839360000004</v>
      </c>
      <c r="P107">
        <v>7982.6493440000004</v>
      </c>
      <c r="Q107">
        <v>4961.87392</v>
      </c>
      <c r="R107">
        <v>1224.0076799999999</v>
      </c>
      <c r="S107">
        <v>1235.5502080000001</v>
      </c>
      <c r="T107">
        <v>163.57375999999999</v>
      </c>
      <c r="U107">
        <v>145.17452800000001</v>
      </c>
      <c r="V107">
        <v>153.829376</v>
      </c>
      <c r="W107">
        <v>149.36473599999999</v>
      </c>
      <c r="X107">
        <v>137.51500799999999</v>
      </c>
      <c r="Y107">
        <v>149.05343999999999</v>
      </c>
      <c r="Z107">
        <v>11.915264000000001</v>
      </c>
      <c r="AA107">
        <v>10.330112</v>
      </c>
      <c r="AB107">
        <v>10.42432</v>
      </c>
      <c r="AC107">
        <v>9.6256000000000004</v>
      </c>
      <c r="AD107">
        <v>10.981375999999999</v>
      </c>
      <c r="AE107">
        <v>10.522624</v>
      </c>
    </row>
    <row r="108" spans="1:31" x14ac:dyDescent="0.3">
      <c r="A108" t="s">
        <v>115</v>
      </c>
      <c r="B108">
        <v>217.317376</v>
      </c>
      <c r="C108">
        <v>51492.519935999997</v>
      </c>
      <c r="D108">
        <v>9540.7472639999996</v>
      </c>
      <c r="E108">
        <v>8044.6914560000005</v>
      </c>
      <c r="F108">
        <v>7979.016192</v>
      </c>
      <c r="G108">
        <v>7415.0502399999996</v>
      </c>
      <c r="H108">
        <v>882.20467199999996</v>
      </c>
      <c r="I108">
        <v>63.922176</v>
      </c>
      <c r="J108">
        <v>29352.267776000001</v>
      </c>
      <c r="K108">
        <v>11378.184192000001</v>
      </c>
      <c r="L108">
        <v>10762.067967999999</v>
      </c>
      <c r="M108">
        <v>9540.7472639999996</v>
      </c>
      <c r="N108" t="s">
        <v>52</v>
      </c>
      <c r="O108">
        <v>8044.6914560000005</v>
      </c>
      <c r="P108">
        <v>7979.016192</v>
      </c>
      <c r="Q108">
        <v>4963.9096319999999</v>
      </c>
      <c r="R108">
        <v>1226.2440959999999</v>
      </c>
      <c r="S108">
        <v>1224.896512</v>
      </c>
      <c r="T108">
        <v>174.206976</v>
      </c>
      <c r="U108">
        <v>139.902976</v>
      </c>
      <c r="V108">
        <v>136.466432</v>
      </c>
      <c r="W108">
        <v>137.211904</v>
      </c>
      <c r="X108">
        <v>150.278144</v>
      </c>
      <c r="Y108">
        <v>144.13824</v>
      </c>
      <c r="Z108">
        <v>11.665407999999999</v>
      </c>
      <c r="AA108">
        <v>10.8544</v>
      </c>
      <c r="AB108">
        <v>10.46528</v>
      </c>
      <c r="AC108">
        <v>9.6624639999999999</v>
      </c>
      <c r="AD108">
        <v>11.005952000000001</v>
      </c>
      <c r="AE108">
        <v>10.268672</v>
      </c>
    </row>
    <row r="109" spans="1:31" x14ac:dyDescent="0.3">
      <c r="A109" t="s">
        <v>116</v>
      </c>
      <c r="B109">
        <v>211.61984000000001</v>
      </c>
      <c r="C109">
        <v>51183.665152000001</v>
      </c>
      <c r="D109">
        <v>7983.0589440000003</v>
      </c>
      <c r="E109">
        <v>8076.1364480000002</v>
      </c>
      <c r="F109">
        <v>8009.6665599999997</v>
      </c>
      <c r="G109">
        <v>7410.9501440000004</v>
      </c>
      <c r="H109">
        <v>841.46585600000003</v>
      </c>
      <c r="I109">
        <v>64.114688000000001</v>
      </c>
      <c r="J109">
        <v>29937.373184</v>
      </c>
      <c r="K109">
        <v>10535.383040000001</v>
      </c>
      <c r="L109">
        <v>10710.908928000001</v>
      </c>
      <c r="M109">
        <v>7983.0589440000003</v>
      </c>
      <c r="N109" t="s">
        <v>52</v>
      </c>
      <c r="O109">
        <v>8076.1364480000002</v>
      </c>
      <c r="P109">
        <v>8009.6665599999997</v>
      </c>
      <c r="Q109">
        <v>4960.6860800000004</v>
      </c>
      <c r="R109">
        <v>1226.8052479999999</v>
      </c>
      <c r="S109">
        <v>1223.4588160000001</v>
      </c>
      <c r="T109">
        <v>149.32787200000001</v>
      </c>
      <c r="U109">
        <v>145.00659200000001</v>
      </c>
      <c r="V109">
        <v>142.14348799999999</v>
      </c>
      <c r="W109">
        <v>136.57702399999999</v>
      </c>
      <c r="X109">
        <v>135.417856</v>
      </c>
      <c r="Y109">
        <v>132.99302399999999</v>
      </c>
      <c r="Z109">
        <v>11.612159999999999</v>
      </c>
      <c r="AA109">
        <v>10.870784</v>
      </c>
      <c r="AB109">
        <v>10.407935999999999</v>
      </c>
      <c r="AC109">
        <v>9.6010240000000007</v>
      </c>
      <c r="AD109">
        <v>11.210751999999999</v>
      </c>
      <c r="AE109">
        <v>10.412032</v>
      </c>
    </row>
    <row r="110" spans="1:31" x14ac:dyDescent="0.3">
      <c r="A110" t="s">
        <v>117</v>
      </c>
      <c r="B110">
        <v>262.28326399999997</v>
      </c>
      <c r="C110">
        <v>16716.476415999998</v>
      </c>
      <c r="D110">
        <v>1393.545216</v>
      </c>
      <c r="E110">
        <v>2154.5738240000001</v>
      </c>
      <c r="F110">
        <v>2655.1336959999999</v>
      </c>
      <c r="G110">
        <v>2555.4862079999998</v>
      </c>
      <c r="H110">
        <v>836.78412800000001</v>
      </c>
      <c r="I110">
        <v>61.808639999999997</v>
      </c>
      <c r="J110">
        <v>14523.113471999999</v>
      </c>
      <c r="K110">
        <v>1130.201088</v>
      </c>
      <c r="L110">
        <v>1063.1618559999999</v>
      </c>
      <c r="M110">
        <v>1393.545216</v>
      </c>
      <c r="N110" t="s">
        <v>52</v>
      </c>
      <c r="O110">
        <v>2154.5738240000001</v>
      </c>
      <c r="P110">
        <v>2655.1336959999999</v>
      </c>
      <c r="Q110">
        <v>949.41183999999998</v>
      </c>
      <c r="R110">
        <v>790.81881599999997</v>
      </c>
      <c r="S110">
        <v>815.25555199999997</v>
      </c>
      <c r="T110">
        <v>134.619136</v>
      </c>
      <c r="U110">
        <v>137.08083199999999</v>
      </c>
      <c r="V110">
        <v>138.33830399999999</v>
      </c>
      <c r="W110">
        <v>140.08729600000001</v>
      </c>
      <c r="X110">
        <v>149.77843200000001</v>
      </c>
      <c r="Y110">
        <v>136.88012800000001</v>
      </c>
      <c r="Z110">
        <v>10.15808</v>
      </c>
      <c r="AA110">
        <v>9.8795520000000003</v>
      </c>
      <c r="AB110">
        <v>9.9123199999999994</v>
      </c>
      <c r="AC110">
        <v>9.4535680000000006</v>
      </c>
      <c r="AD110">
        <v>12.955648</v>
      </c>
      <c r="AE110">
        <v>9.4494720000000001</v>
      </c>
    </row>
    <row r="111" spans="1:31" x14ac:dyDescent="0.3">
      <c r="A111" t="s">
        <v>119</v>
      </c>
      <c r="B111">
        <v>269.72979199999997</v>
      </c>
      <c r="C111">
        <v>26808.528896</v>
      </c>
      <c r="D111">
        <v>2667.5896320000002</v>
      </c>
      <c r="E111">
        <v>5349.2981760000002</v>
      </c>
      <c r="F111">
        <v>5403.3039360000002</v>
      </c>
      <c r="G111">
        <v>2393.8047999999999</v>
      </c>
      <c r="H111">
        <v>874.31577599999991</v>
      </c>
      <c r="I111">
        <v>61.407232000000008</v>
      </c>
      <c r="J111">
        <v>23880.810495999998</v>
      </c>
      <c r="K111">
        <v>1241.5344640000001</v>
      </c>
      <c r="L111">
        <v>1686.1839359999999</v>
      </c>
      <c r="M111">
        <v>2667.5896320000002</v>
      </c>
      <c r="N111" t="s">
        <v>52</v>
      </c>
      <c r="O111">
        <v>5349.2981760000002</v>
      </c>
      <c r="P111">
        <v>5403.3039360000002</v>
      </c>
      <c r="Q111">
        <v>931.89324799999997</v>
      </c>
      <c r="R111">
        <v>701.03449599999999</v>
      </c>
      <c r="S111">
        <v>760.87705600000004</v>
      </c>
      <c r="T111">
        <v>189.29664</v>
      </c>
      <c r="U111">
        <v>137.53548799999999</v>
      </c>
      <c r="V111">
        <v>130.49446399999999</v>
      </c>
      <c r="W111">
        <v>137.52729600000001</v>
      </c>
      <c r="X111">
        <v>135.274496</v>
      </c>
      <c r="Y111">
        <v>144.18739199999999</v>
      </c>
      <c r="Z111">
        <v>11.882496</v>
      </c>
      <c r="AA111">
        <v>10.428416</v>
      </c>
      <c r="AB111">
        <v>9.9450880000000002</v>
      </c>
      <c r="AC111">
        <v>9.7771519999999992</v>
      </c>
      <c r="AD111">
        <v>9.9205120000000004</v>
      </c>
      <c r="AE111">
        <v>9.4535680000000006</v>
      </c>
    </row>
    <row r="112" spans="1:31" x14ac:dyDescent="0.3">
      <c r="A112" t="s">
        <v>120</v>
      </c>
      <c r="B112">
        <v>272.195584</v>
      </c>
      <c r="C112">
        <v>26803.695615999997</v>
      </c>
      <c r="D112">
        <v>4423.0369280000004</v>
      </c>
      <c r="E112">
        <v>6170.5215999999991</v>
      </c>
      <c r="F112">
        <v>5758.8080639999998</v>
      </c>
      <c r="G112">
        <v>2540.5071360000002</v>
      </c>
      <c r="H112">
        <v>839.86431999999991</v>
      </c>
      <c r="I112">
        <v>61.804543999999993</v>
      </c>
      <c r="J112">
        <v>15145.611263999999</v>
      </c>
      <c r="K112">
        <v>10486.054912</v>
      </c>
      <c r="L112">
        <v>1172.02944</v>
      </c>
      <c r="M112">
        <v>4423.0369280000004</v>
      </c>
      <c r="N112" t="s">
        <v>52</v>
      </c>
      <c r="O112">
        <v>6170.5215999999991</v>
      </c>
      <c r="P112">
        <v>5758.8080639999998</v>
      </c>
      <c r="Q112">
        <v>956.26035200000001</v>
      </c>
      <c r="R112">
        <v>776.46643200000005</v>
      </c>
      <c r="S112">
        <v>807.78035199999999</v>
      </c>
      <c r="T112">
        <v>138.80524800000001</v>
      </c>
      <c r="U112">
        <v>138.44070400000001</v>
      </c>
      <c r="V112">
        <v>140.046336</v>
      </c>
      <c r="W112">
        <v>146.60403199999999</v>
      </c>
      <c r="X112">
        <v>143.18387200000001</v>
      </c>
      <c r="Y112">
        <v>132.78412800000001</v>
      </c>
      <c r="Z112">
        <v>11.853823999999999</v>
      </c>
      <c r="AA112">
        <v>10.416128</v>
      </c>
      <c r="AB112">
        <v>10.194944</v>
      </c>
      <c r="AC112">
        <v>9.7157119999999999</v>
      </c>
      <c r="AD112">
        <v>10.182656</v>
      </c>
      <c r="AE112">
        <v>9.4412800000000008</v>
      </c>
    </row>
    <row r="113" spans="1:31" x14ac:dyDescent="0.3">
      <c r="A113" t="s">
        <v>121</v>
      </c>
      <c r="B113">
        <v>263.58579200000003</v>
      </c>
      <c r="C113">
        <v>35571.318784000003</v>
      </c>
      <c r="D113">
        <v>6516.0396799999999</v>
      </c>
      <c r="E113">
        <v>8318.7793919999986</v>
      </c>
      <c r="F113">
        <v>8124.1702400000004</v>
      </c>
      <c r="G113">
        <v>2306.0357119999999</v>
      </c>
      <c r="H113">
        <v>988.44671999999991</v>
      </c>
      <c r="I113">
        <v>62.61145599999999</v>
      </c>
      <c r="J113">
        <v>23935.406080000001</v>
      </c>
      <c r="K113">
        <v>1181.6099839999999</v>
      </c>
      <c r="L113">
        <v>10454.30272</v>
      </c>
      <c r="M113">
        <v>6516.0396799999999</v>
      </c>
      <c r="N113" t="s">
        <v>52</v>
      </c>
      <c r="O113">
        <v>8318.7793919999986</v>
      </c>
      <c r="P113">
        <v>8124.1702400000004</v>
      </c>
      <c r="Q113">
        <v>946.54054399999995</v>
      </c>
      <c r="R113">
        <v>649.211904</v>
      </c>
      <c r="S113">
        <v>710.28326400000003</v>
      </c>
      <c r="T113">
        <v>252.32588799999999</v>
      </c>
      <c r="U113">
        <v>195.42835199999999</v>
      </c>
      <c r="V113">
        <v>131.919872</v>
      </c>
      <c r="W113">
        <v>139.13292799999999</v>
      </c>
      <c r="X113">
        <v>133.41081600000001</v>
      </c>
      <c r="Y113">
        <v>136.22886399999999</v>
      </c>
      <c r="Z113">
        <v>11.587584</v>
      </c>
      <c r="AA113">
        <v>10.760192</v>
      </c>
      <c r="AB113">
        <v>10.395648</v>
      </c>
      <c r="AC113">
        <v>10.514431999999999</v>
      </c>
      <c r="AD113">
        <v>9.9082240000000006</v>
      </c>
      <c r="AE113">
        <v>9.4453759999999996</v>
      </c>
    </row>
    <row r="114" spans="1:31" x14ac:dyDescent="0.3">
      <c r="A114" t="s">
        <v>122</v>
      </c>
      <c r="B114">
        <v>275.64851199999998</v>
      </c>
      <c r="C114">
        <v>36130.79552</v>
      </c>
      <c r="D114">
        <v>5650.1780479999998</v>
      </c>
      <c r="E114">
        <v>8322.4330239999999</v>
      </c>
      <c r="F114">
        <v>8295.4158079999997</v>
      </c>
      <c r="G114">
        <v>2357.010432</v>
      </c>
      <c r="H114">
        <v>838.47167999999999</v>
      </c>
      <c r="I114">
        <v>63.287296000000005</v>
      </c>
      <c r="J114">
        <v>23982.333952000001</v>
      </c>
      <c r="K114">
        <v>10975.424512</v>
      </c>
      <c r="L114">
        <v>1173.0370559999999</v>
      </c>
      <c r="M114">
        <v>5650.1780479999998</v>
      </c>
      <c r="N114" t="s">
        <v>52</v>
      </c>
      <c r="O114">
        <v>8322.4330239999999</v>
      </c>
      <c r="P114">
        <v>8295.4158079999997</v>
      </c>
      <c r="Q114">
        <v>932.24550399999998</v>
      </c>
      <c r="R114">
        <v>669.37241600000004</v>
      </c>
      <c r="S114">
        <v>755.39251200000001</v>
      </c>
      <c r="T114">
        <v>139.06739200000001</v>
      </c>
      <c r="U114">
        <v>149.87673599999999</v>
      </c>
      <c r="V114">
        <v>130.62553600000001</v>
      </c>
      <c r="W114">
        <v>135.20486399999999</v>
      </c>
      <c r="X114">
        <v>138.75609600000001</v>
      </c>
      <c r="Y114">
        <v>144.941056</v>
      </c>
      <c r="Z114">
        <v>13.717504</v>
      </c>
      <c r="AA114">
        <v>10.420223999999999</v>
      </c>
      <c r="AB114">
        <v>10.043392000000001</v>
      </c>
      <c r="AC114">
        <v>9.7157119999999999</v>
      </c>
      <c r="AD114">
        <v>9.9409919999999996</v>
      </c>
      <c r="AE114">
        <v>9.4494720000000001</v>
      </c>
    </row>
    <row r="115" spans="1:31" x14ac:dyDescent="0.3">
      <c r="A115" t="s">
        <v>123</v>
      </c>
      <c r="B115">
        <v>265.46176000000003</v>
      </c>
      <c r="C115">
        <v>45951.279104000001</v>
      </c>
      <c r="D115">
        <v>5987.3976320000002</v>
      </c>
      <c r="E115">
        <v>8284.213248</v>
      </c>
      <c r="F115">
        <v>8070.1112320000002</v>
      </c>
      <c r="G115">
        <v>2484.1830399999999</v>
      </c>
      <c r="H115">
        <v>839.88889600000005</v>
      </c>
      <c r="I115">
        <v>61.80044800000001</v>
      </c>
      <c r="J115">
        <v>23947.620351999998</v>
      </c>
      <c r="K115">
        <v>11010.985984000001</v>
      </c>
      <c r="L115">
        <v>10992.672768</v>
      </c>
      <c r="M115">
        <v>5987.3976320000002</v>
      </c>
      <c r="N115" t="s">
        <v>52</v>
      </c>
      <c r="O115">
        <v>8284.213248</v>
      </c>
      <c r="P115">
        <v>8070.1112320000002</v>
      </c>
      <c r="Q115">
        <v>926.94937600000003</v>
      </c>
      <c r="R115">
        <v>753.04140800000005</v>
      </c>
      <c r="S115">
        <v>804.19225600000004</v>
      </c>
      <c r="T115">
        <v>150.72460799999999</v>
      </c>
      <c r="U115">
        <v>139.988992</v>
      </c>
      <c r="V115">
        <v>141.06623999999999</v>
      </c>
      <c r="W115">
        <v>139.907072</v>
      </c>
      <c r="X115">
        <v>132.03046399999999</v>
      </c>
      <c r="Y115">
        <v>136.17151999999999</v>
      </c>
      <c r="Z115">
        <v>11.890688000000001</v>
      </c>
      <c r="AA115">
        <v>10.616832</v>
      </c>
      <c r="AB115">
        <v>10.190848000000001</v>
      </c>
      <c r="AC115">
        <v>9.4535680000000006</v>
      </c>
      <c r="AD115">
        <v>10.190848000000001</v>
      </c>
      <c r="AE115">
        <v>9.4576639999999994</v>
      </c>
    </row>
    <row r="116" spans="1:31" x14ac:dyDescent="0.3">
      <c r="A116" t="s">
        <v>124</v>
      </c>
      <c r="B116">
        <v>262.43072000000001</v>
      </c>
      <c r="C116">
        <v>17783.422975999998</v>
      </c>
      <c r="D116">
        <v>7592.7429119999997</v>
      </c>
      <c r="E116">
        <v>8225.3660159999999</v>
      </c>
      <c r="F116">
        <v>8106.6926080000003</v>
      </c>
      <c r="G116">
        <v>2458.9107199999999</v>
      </c>
      <c r="H116">
        <v>981.22547199999985</v>
      </c>
      <c r="I116">
        <v>61.521919999999994</v>
      </c>
      <c r="J116">
        <v>14657.536</v>
      </c>
      <c r="K116">
        <v>1791.4675199999999</v>
      </c>
      <c r="L116">
        <v>1334.4194560000001</v>
      </c>
      <c r="M116">
        <v>7592.7429119999997</v>
      </c>
      <c r="N116" t="s">
        <v>52</v>
      </c>
      <c r="O116">
        <v>8225.3660159999999</v>
      </c>
      <c r="P116">
        <v>8106.6926080000003</v>
      </c>
      <c r="Q116">
        <v>927.81772799999999</v>
      </c>
      <c r="R116">
        <v>732.13542399999994</v>
      </c>
      <c r="S116">
        <v>798.95756800000004</v>
      </c>
      <c r="T116">
        <v>287.42451199999999</v>
      </c>
      <c r="U116">
        <v>140.82457600000001</v>
      </c>
      <c r="V116">
        <v>135.47929600000001</v>
      </c>
      <c r="W116">
        <v>138.40384</v>
      </c>
      <c r="X116">
        <v>135.70048</v>
      </c>
      <c r="Y116">
        <v>143.39276799999999</v>
      </c>
      <c r="Z116">
        <v>11.882496</v>
      </c>
      <c r="AA116">
        <v>10.461183999999999</v>
      </c>
      <c r="AB116">
        <v>10.002432000000001</v>
      </c>
      <c r="AC116">
        <v>9.7935359999999996</v>
      </c>
      <c r="AD116">
        <v>9.9287039999999998</v>
      </c>
      <c r="AE116">
        <v>9.4535680000000006</v>
      </c>
    </row>
    <row r="117" spans="1:31" x14ac:dyDescent="0.3">
      <c r="A117" t="s">
        <v>125</v>
      </c>
      <c r="B117">
        <v>274.08793600000001</v>
      </c>
      <c r="C117">
        <v>45301.395455999998</v>
      </c>
      <c r="D117">
        <v>7406.3912959999998</v>
      </c>
      <c r="E117">
        <v>8176.9349119999997</v>
      </c>
      <c r="F117">
        <v>8141.1850240000003</v>
      </c>
      <c r="G117">
        <v>2435.3873920000001</v>
      </c>
      <c r="H117">
        <v>814.74764800000003</v>
      </c>
      <c r="I117">
        <v>63.078400000000002</v>
      </c>
      <c r="J117">
        <v>24309.90336</v>
      </c>
      <c r="K117">
        <v>10496.557056</v>
      </c>
      <c r="L117">
        <v>10494.93504</v>
      </c>
      <c r="M117">
        <v>7406.3912959999998</v>
      </c>
      <c r="N117" t="s">
        <v>52</v>
      </c>
      <c r="O117">
        <v>8176.9349119999997</v>
      </c>
      <c r="P117">
        <v>8141.1850240000003</v>
      </c>
      <c r="Q117">
        <v>949.01043200000004</v>
      </c>
      <c r="R117">
        <v>687.47263999999996</v>
      </c>
      <c r="S117">
        <v>798.90431999999998</v>
      </c>
      <c r="T117">
        <v>135.73734400000001</v>
      </c>
      <c r="U117">
        <v>139.86201600000001</v>
      </c>
      <c r="V117">
        <v>133.30431999999999</v>
      </c>
      <c r="W117">
        <v>137.19551999999999</v>
      </c>
      <c r="X117">
        <v>133.603328</v>
      </c>
      <c r="Y117">
        <v>135.04512</v>
      </c>
      <c r="Z117">
        <v>11.93984</v>
      </c>
      <c r="AA117">
        <v>10.412032</v>
      </c>
      <c r="AB117">
        <v>11.636736000000001</v>
      </c>
      <c r="AC117">
        <v>9.4617599999999999</v>
      </c>
      <c r="AD117">
        <v>9.9205120000000004</v>
      </c>
      <c r="AE117">
        <v>9.7075200000000006</v>
      </c>
    </row>
    <row r="118" spans="1:31" x14ac:dyDescent="0.3">
      <c r="A118" t="s">
        <v>126</v>
      </c>
      <c r="B118">
        <v>261.88595199999997</v>
      </c>
      <c r="C118">
        <v>45669.769216000001</v>
      </c>
      <c r="D118">
        <v>7734.7225600000002</v>
      </c>
      <c r="E118">
        <v>8215.9534079999994</v>
      </c>
      <c r="F118">
        <v>8070.213632</v>
      </c>
      <c r="G118">
        <v>2431.2954879999998</v>
      </c>
      <c r="H118">
        <v>859.86508800000001</v>
      </c>
      <c r="I118">
        <v>65.507328000000001</v>
      </c>
      <c r="J118">
        <v>24300.580864</v>
      </c>
      <c r="K118">
        <v>10900.992</v>
      </c>
      <c r="L118">
        <v>10468.196352000001</v>
      </c>
      <c r="M118">
        <v>7734.7225600000002</v>
      </c>
      <c r="N118" t="s">
        <v>52</v>
      </c>
      <c r="O118">
        <v>8215.9534079999994</v>
      </c>
      <c r="P118">
        <v>8070.213632</v>
      </c>
      <c r="Q118">
        <v>934.97343999999998</v>
      </c>
      <c r="R118">
        <v>746.54924800000003</v>
      </c>
      <c r="S118">
        <v>749.77279999999996</v>
      </c>
      <c r="T118">
        <v>153.96863999999999</v>
      </c>
      <c r="U118">
        <v>139.370496</v>
      </c>
      <c r="V118">
        <v>140.11596800000001</v>
      </c>
      <c r="W118">
        <v>140.40268800000001</v>
      </c>
      <c r="X118">
        <v>139.89068800000001</v>
      </c>
      <c r="Y118">
        <v>146.11660800000001</v>
      </c>
      <c r="Z118">
        <v>11.505663999999999</v>
      </c>
      <c r="AA118">
        <v>10.686464000000001</v>
      </c>
      <c r="AB118">
        <v>14.499840000000001</v>
      </c>
      <c r="AC118">
        <v>9.4576639999999994</v>
      </c>
      <c r="AD118">
        <v>9.9205120000000004</v>
      </c>
      <c r="AE118">
        <v>9.4371840000000002</v>
      </c>
    </row>
    <row r="119" spans="1:31" x14ac:dyDescent="0.3">
      <c r="A119" t="s">
        <v>127</v>
      </c>
      <c r="B119">
        <v>267.71865600000001</v>
      </c>
      <c r="C119">
        <v>35906.68288</v>
      </c>
      <c r="D119">
        <v>8013.0498559999996</v>
      </c>
      <c r="E119">
        <v>8191.6518400000004</v>
      </c>
      <c r="F119">
        <v>8075.6367360000004</v>
      </c>
      <c r="G119">
        <v>2645.8890240000001</v>
      </c>
      <c r="H119">
        <v>975.27398399999993</v>
      </c>
      <c r="I119">
        <v>61.218816000000004</v>
      </c>
      <c r="J119">
        <v>24199.139328000001</v>
      </c>
      <c r="K119">
        <v>10451.726336</v>
      </c>
      <c r="L119">
        <v>1255.8172159999999</v>
      </c>
      <c r="M119">
        <v>8013.0498559999996</v>
      </c>
      <c r="N119" t="s">
        <v>52</v>
      </c>
      <c r="O119">
        <v>8191.6518400000004</v>
      </c>
      <c r="P119">
        <v>8075.6367360000004</v>
      </c>
      <c r="Q119">
        <v>996.09395199999994</v>
      </c>
      <c r="R119">
        <v>801.05062399999997</v>
      </c>
      <c r="S119">
        <v>848.74444800000003</v>
      </c>
      <c r="T119">
        <v>289.34143999999998</v>
      </c>
      <c r="U119">
        <v>139.27628799999999</v>
      </c>
      <c r="V119">
        <v>139.17388800000001</v>
      </c>
      <c r="W119">
        <v>134.49216000000001</v>
      </c>
      <c r="X119">
        <v>131.06380799999999</v>
      </c>
      <c r="Y119">
        <v>141.9264</v>
      </c>
      <c r="Z119">
        <v>11.894784</v>
      </c>
      <c r="AA119">
        <v>10.514431999999999</v>
      </c>
      <c r="AB119">
        <v>9.9532799999999995</v>
      </c>
      <c r="AC119">
        <v>9.4494720000000001</v>
      </c>
      <c r="AD119">
        <v>9.9614720000000005</v>
      </c>
      <c r="AE119">
        <v>9.4453759999999996</v>
      </c>
    </row>
    <row r="120" spans="1:31" x14ac:dyDescent="0.3">
      <c r="A120" t="s">
        <v>128</v>
      </c>
      <c r="B120">
        <v>266.56358399999999</v>
      </c>
      <c r="C120">
        <v>36801.503232000003</v>
      </c>
      <c r="D120">
        <v>9091.8543360000003</v>
      </c>
      <c r="E120">
        <v>8121.4832639999995</v>
      </c>
      <c r="F120">
        <v>8118.1736959999998</v>
      </c>
      <c r="G120">
        <v>2276.4257280000002</v>
      </c>
      <c r="H120">
        <v>825.72492799999998</v>
      </c>
      <c r="I120">
        <v>62.496768000000003</v>
      </c>
      <c r="J120">
        <v>14370.324479999999</v>
      </c>
      <c r="K120">
        <v>11404.623872</v>
      </c>
      <c r="L120">
        <v>11026.55488</v>
      </c>
      <c r="M120">
        <v>9091.8543360000003</v>
      </c>
      <c r="N120" t="s">
        <v>52</v>
      </c>
      <c r="O120">
        <v>8121.4832639999995</v>
      </c>
      <c r="P120">
        <v>8118.1736959999998</v>
      </c>
      <c r="Q120">
        <v>937.63584000000003</v>
      </c>
      <c r="R120">
        <v>669.86803199999997</v>
      </c>
      <c r="S120">
        <v>668.92185600000005</v>
      </c>
      <c r="T120">
        <v>133.681152</v>
      </c>
      <c r="U120">
        <v>138.07615999999999</v>
      </c>
      <c r="V120">
        <v>132.35404800000001</v>
      </c>
      <c r="W120">
        <v>145.58412799999999</v>
      </c>
      <c r="X120">
        <v>135.675904</v>
      </c>
      <c r="Y120">
        <v>140.35353599999999</v>
      </c>
      <c r="Z120">
        <v>11.38688</v>
      </c>
      <c r="AA120">
        <v>12.357632000000001</v>
      </c>
      <c r="AB120">
        <v>9.9409919999999996</v>
      </c>
      <c r="AC120">
        <v>9.4576639999999994</v>
      </c>
      <c r="AD120">
        <v>9.9246079999999992</v>
      </c>
      <c r="AE120">
        <v>9.4289919999999992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20"/>
  <sheetViews>
    <sheetView workbookViewId="0">
      <selection activeCell="A2" sqref="A2:A61"/>
    </sheetView>
  </sheetViews>
  <sheetFormatPr defaultRowHeight="14.4" x14ac:dyDescent="0.3"/>
  <cols>
    <col min="1" max="1" width="44.33203125" customWidth="1"/>
    <col min="2" max="24" width="12.6640625" customWidth="1"/>
  </cols>
  <sheetData>
    <row r="1" spans="1:31" x14ac:dyDescent="0.3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</row>
    <row r="2" spans="1:31" x14ac:dyDescent="0.3">
      <c r="A2" t="s">
        <v>201</v>
      </c>
      <c r="B2" s="3">
        <v>0</v>
      </c>
      <c r="C2">
        <v>17.117117117117115</v>
      </c>
      <c r="D2">
        <v>0.22480329711502436</v>
      </c>
      <c r="E2">
        <v>0</v>
      </c>
      <c r="F2">
        <v>3.6363636363636362E-2</v>
      </c>
      <c r="G2">
        <v>0</v>
      </c>
      <c r="H2">
        <v>16.594694632942627</v>
      </c>
      <c r="I2">
        <v>0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</row>
    <row r="3" spans="1:31" x14ac:dyDescent="0.3">
      <c r="A3" s="5" t="s">
        <v>202</v>
      </c>
      <c r="B3" s="8">
        <v>0</v>
      </c>
      <c r="C3" s="8">
        <v>16.135558927668185</v>
      </c>
      <c r="D3" s="8">
        <v>0.18839487565938207</v>
      </c>
      <c r="E3" s="8">
        <v>0</v>
      </c>
      <c r="F3" s="8">
        <v>7.7011936850211779E-2</v>
      </c>
      <c r="G3" s="8">
        <v>0</v>
      </c>
      <c r="H3" s="8">
        <v>16.141001855287566</v>
      </c>
      <c r="I3" s="8">
        <v>0</v>
      </c>
      <c r="J3" s="8" t="s">
        <v>52</v>
      </c>
      <c r="K3" s="8" t="s">
        <v>52</v>
      </c>
      <c r="L3" s="8" t="s">
        <v>52</v>
      </c>
      <c r="M3" s="8" t="s">
        <v>52</v>
      </c>
      <c r="N3" s="8" t="s">
        <v>52</v>
      </c>
      <c r="O3" s="8" t="s">
        <v>52</v>
      </c>
      <c r="P3" s="8" t="s">
        <v>52</v>
      </c>
      <c r="Q3" s="8" t="s">
        <v>52</v>
      </c>
      <c r="R3" s="8" t="s">
        <v>52</v>
      </c>
      <c r="S3" s="8" t="s">
        <v>52</v>
      </c>
      <c r="T3" s="8" t="s">
        <v>52</v>
      </c>
      <c r="U3" s="8" t="s">
        <v>52</v>
      </c>
      <c r="V3" s="8" t="s">
        <v>52</v>
      </c>
      <c r="W3" s="8" t="s">
        <v>52</v>
      </c>
      <c r="X3" s="8" t="s">
        <v>52</v>
      </c>
      <c r="Y3" s="8" t="s">
        <v>52</v>
      </c>
      <c r="Z3" s="8" t="s">
        <v>52</v>
      </c>
      <c r="AA3" s="8" t="s">
        <v>52</v>
      </c>
      <c r="AB3" s="8" t="s">
        <v>52</v>
      </c>
      <c r="AC3" s="8" t="s">
        <v>52</v>
      </c>
      <c r="AD3" s="8" t="s">
        <v>52</v>
      </c>
      <c r="AE3" s="8" t="s">
        <v>52</v>
      </c>
    </row>
    <row r="4" spans="1:31" x14ac:dyDescent="0.3">
      <c r="A4" s="5" t="s">
        <v>203</v>
      </c>
      <c r="B4" s="8">
        <v>3.7369207772795218E-2</v>
      </c>
      <c r="C4" s="8">
        <v>16.897506925207757</v>
      </c>
      <c r="D4" s="8">
        <v>0.95895665515918671</v>
      </c>
      <c r="E4" s="8">
        <v>0.18181818181818185</v>
      </c>
      <c r="F4" s="8">
        <v>7.160759040458288E-2</v>
      </c>
      <c r="G4" s="8">
        <v>0</v>
      </c>
      <c r="H4" s="8">
        <v>17.017438364401684</v>
      </c>
      <c r="I4" s="8">
        <v>0</v>
      </c>
      <c r="J4" s="8" t="s">
        <v>52</v>
      </c>
      <c r="K4" s="8" t="s">
        <v>52</v>
      </c>
      <c r="L4" s="8" t="s">
        <v>52</v>
      </c>
      <c r="M4" s="8" t="s">
        <v>52</v>
      </c>
      <c r="N4" s="8" t="s">
        <v>52</v>
      </c>
      <c r="O4" s="8" t="s">
        <v>52</v>
      </c>
      <c r="P4" s="8" t="s">
        <v>52</v>
      </c>
      <c r="Q4" s="8" t="s">
        <v>52</v>
      </c>
      <c r="R4" s="8" t="s">
        <v>52</v>
      </c>
      <c r="S4" s="8" t="s">
        <v>52</v>
      </c>
      <c r="T4" s="8" t="s">
        <v>52</v>
      </c>
      <c r="U4" s="8" t="s">
        <v>52</v>
      </c>
      <c r="V4" s="8" t="s">
        <v>52</v>
      </c>
      <c r="W4" s="8" t="s">
        <v>52</v>
      </c>
      <c r="X4" s="8" t="s">
        <v>52</v>
      </c>
      <c r="Y4" s="8" t="s">
        <v>52</v>
      </c>
      <c r="Z4" s="8" t="s">
        <v>52</v>
      </c>
      <c r="AA4" s="8" t="s">
        <v>52</v>
      </c>
      <c r="AB4" s="8" t="s">
        <v>52</v>
      </c>
      <c r="AC4" s="8" t="s">
        <v>52</v>
      </c>
      <c r="AD4" s="8" t="s">
        <v>52</v>
      </c>
      <c r="AE4" s="8" t="s">
        <v>52</v>
      </c>
    </row>
    <row r="5" spans="1:31" x14ac:dyDescent="0.3">
      <c r="A5" s="5" t="s">
        <v>204</v>
      </c>
      <c r="B5" s="8">
        <v>3.6630036630036632E-2</v>
      </c>
      <c r="C5" s="8">
        <v>16.134453781512605</v>
      </c>
      <c r="D5" s="8">
        <v>3.2834731849689893</v>
      </c>
      <c r="E5" s="8">
        <v>0.42253521126760568</v>
      </c>
      <c r="F5" s="8">
        <v>0.22684310018903589</v>
      </c>
      <c r="G5" s="8">
        <v>0</v>
      </c>
      <c r="H5" s="8">
        <v>17.341430499325238</v>
      </c>
      <c r="I5" s="8">
        <v>0</v>
      </c>
      <c r="J5" s="8" t="s">
        <v>52</v>
      </c>
      <c r="K5" s="8" t="s">
        <v>52</v>
      </c>
      <c r="L5" s="8" t="s">
        <v>52</v>
      </c>
      <c r="M5" s="8" t="s">
        <v>52</v>
      </c>
      <c r="N5" s="8" t="s">
        <v>52</v>
      </c>
      <c r="O5" s="8" t="s">
        <v>52</v>
      </c>
      <c r="P5" s="8" t="s">
        <v>52</v>
      </c>
      <c r="Q5" s="8" t="s">
        <v>52</v>
      </c>
      <c r="R5" s="8" t="s">
        <v>52</v>
      </c>
      <c r="S5" s="8" t="s">
        <v>52</v>
      </c>
      <c r="T5" s="8" t="s">
        <v>52</v>
      </c>
      <c r="U5" s="8" t="s">
        <v>52</v>
      </c>
      <c r="V5" s="8" t="s">
        <v>52</v>
      </c>
      <c r="W5" s="8" t="s">
        <v>52</v>
      </c>
      <c r="X5" s="8" t="s">
        <v>52</v>
      </c>
      <c r="Y5" s="8" t="s">
        <v>52</v>
      </c>
      <c r="Z5" s="8" t="s">
        <v>52</v>
      </c>
      <c r="AA5" s="8" t="s">
        <v>52</v>
      </c>
      <c r="AB5" s="8" t="s">
        <v>52</v>
      </c>
      <c r="AC5" s="8" t="s">
        <v>52</v>
      </c>
      <c r="AD5" s="8" t="s">
        <v>52</v>
      </c>
      <c r="AE5" s="8" t="s">
        <v>52</v>
      </c>
    </row>
    <row r="6" spans="1:31" x14ac:dyDescent="0.3">
      <c r="A6" s="5" t="s">
        <v>205</v>
      </c>
      <c r="B6" s="8">
        <v>0.68519223448800914</v>
      </c>
      <c r="C6" s="8">
        <v>16.990005878894767</v>
      </c>
      <c r="D6" s="8">
        <v>4.1929499072356213</v>
      </c>
      <c r="E6" s="8">
        <v>3.0706622271550126</v>
      </c>
      <c r="F6" s="8">
        <v>2.3230088495575223</v>
      </c>
      <c r="G6" s="8">
        <v>0</v>
      </c>
      <c r="H6" s="8">
        <v>0</v>
      </c>
      <c r="I6" s="8">
        <v>0</v>
      </c>
      <c r="J6" s="8" t="s">
        <v>52</v>
      </c>
      <c r="K6" s="8" t="s">
        <v>52</v>
      </c>
      <c r="L6" s="8" t="s">
        <v>52</v>
      </c>
      <c r="M6" s="8" t="s">
        <v>52</v>
      </c>
      <c r="N6" s="8" t="s">
        <v>52</v>
      </c>
      <c r="O6" s="8" t="s">
        <v>52</v>
      </c>
      <c r="P6" s="8" t="s">
        <v>52</v>
      </c>
      <c r="Q6" s="8" t="s">
        <v>52</v>
      </c>
      <c r="R6" s="8" t="s">
        <v>52</v>
      </c>
      <c r="S6" s="8" t="s">
        <v>52</v>
      </c>
      <c r="T6" s="8" t="s">
        <v>52</v>
      </c>
      <c r="U6" s="8" t="s">
        <v>52</v>
      </c>
      <c r="V6" s="8" t="s">
        <v>52</v>
      </c>
      <c r="W6" s="8" t="s">
        <v>52</v>
      </c>
      <c r="X6" s="8" t="s">
        <v>52</v>
      </c>
      <c r="Y6" s="8" t="s">
        <v>52</v>
      </c>
      <c r="Z6" s="8" t="s">
        <v>52</v>
      </c>
      <c r="AA6" s="8" t="s">
        <v>52</v>
      </c>
      <c r="AB6" s="8" t="s">
        <v>52</v>
      </c>
      <c r="AC6" s="8" t="s">
        <v>52</v>
      </c>
      <c r="AD6" s="8" t="s">
        <v>52</v>
      </c>
      <c r="AE6" s="8" t="s">
        <v>52</v>
      </c>
    </row>
    <row r="7" spans="1:31" x14ac:dyDescent="0.3">
      <c r="A7" s="5" t="s">
        <v>154</v>
      </c>
      <c r="B7" s="8">
        <v>0</v>
      </c>
      <c r="C7" s="8">
        <v>7.268934120477982</v>
      </c>
      <c r="D7" s="8">
        <v>0</v>
      </c>
      <c r="E7" s="8">
        <v>0</v>
      </c>
      <c r="F7" s="8">
        <v>0</v>
      </c>
      <c r="G7" s="8" t="s">
        <v>52</v>
      </c>
      <c r="H7" s="8">
        <v>0</v>
      </c>
      <c r="I7" s="8" t="s">
        <v>52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>
        <v>0</v>
      </c>
      <c r="R7" s="8">
        <v>0</v>
      </c>
      <c r="S7" s="8">
        <v>0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</row>
    <row r="8" spans="1:31" x14ac:dyDescent="0.3">
      <c r="A8" s="5" t="s">
        <v>155</v>
      </c>
      <c r="B8" s="8">
        <v>0.34168564920273348</v>
      </c>
      <c r="C8" s="8">
        <v>8.1193982309730774</v>
      </c>
      <c r="D8" s="8">
        <v>0</v>
      </c>
      <c r="E8" s="8">
        <v>0.1039501039501039</v>
      </c>
      <c r="F8" s="8">
        <v>0.29017047515415312</v>
      </c>
      <c r="G8" s="8" t="s">
        <v>52</v>
      </c>
      <c r="H8" s="8">
        <v>2.8431707039690661E-2</v>
      </c>
      <c r="I8" s="8" t="s">
        <v>52</v>
      </c>
      <c r="J8" s="8" t="s">
        <v>52</v>
      </c>
      <c r="K8" s="8" t="s">
        <v>52</v>
      </c>
      <c r="L8" s="8" t="s">
        <v>52</v>
      </c>
      <c r="M8" s="8" t="s">
        <v>52</v>
      </c>
      <c r="N8" s="8" t="s">
        <v>52</v>
      </c>
      <c r="O8" s="8" t="s">
        <v>52</v>
      </c>
      <c r="P8" s="8" t="s">
        <v>52</v>
      </c>
      <c r="Q8" s="8">
        <v>0</v>
      </c>
      <c r="R8" s="8">
        <v>0</v>
      </c>
      <c r="S8" s="8">
        <v>0</v>
      </c>
      <c r="T8" s="8" t="s">
        <v>52</v>
      </c>
      <c r="U8" s="8" t="s">
        <v>52</v>
      </c>
      <c r="V8" s="8" t="s">
        <v>52</v>
      </c>
      <c r="W8" s="8" t="s">
        <v>52</v>
      </c>
      <c r="X8" s="8" t="s">
        <v>52</v>
      </c>
      <c r="Y8" s="8" t="s">
        <v>52</v>
      </c>
      <c r="Z8" s="8" t="s">
        <v>52</v>
      </c>
      <c r="AA8" s="8" t="s">
        <v>52</v>
      </c>
      <c r="AB8" s="8" t="s">
        <v>52</v>
      </c>
      <c r="AC8" s="8" t="s">
        <v>52</v>
      </c>
      <c r="AD8" s="8" t="s">
        <v>52</v>
      </c>
      <c r="AE8" s="8" t="s">
        <v>52</v>
      </c>
    </row>
    <row r="9" spans="1:31" x14ac:dyDescent="0.3">
      <c r="A9" s="5" t="s">
        <v>156</v>
      </c>
      <c r="B9" s="8">
        <v>0.4285714285714286</v>
      </c>
      <c r="C9" s="8">
        <v>7.7296568538898258</v>
      </c>
      <c r="D9" s="8">
        <v>0</v>
      </c>
      <c r="E9" s="8">
        <v>0.36390101892285298</v>
      </c>
      <c r="F9" s="8">
        <v>0.62339567290062348</v>
      </c>
      <c r="G9" s="8" t="s">
        <v>52</v>
      </c>
      <c r="H9" s="8">
        <v>5.4911636439380768E-2</v>
      </c>
      <c r="I9" s="8" t="s">
        <v>52</v>
      </c>
      <c r="J9" s="8" t="s">
        <v>52</v>
      </c>
      <c r="K9" s="8" t="s">
        <v>52</v>
      </c>
      <c r="L9" s="8" t="s">
        <v>52</v>
      </c>
      <c r="M9" s="8" t="s">
        <v>52</v>
      </c>
      <c r="N9" s="8" t="s">
        <v>52</v>
      </c>
      <c r="O9" s="8" t="s">
        <v>52</v>
      </c>
      <c r="P9" s="8" t="s">
        <v>52</v>
      </c>
      <c r="Q9" s="8">
        <v>0</v>
      </c>
      <c r="R9" s="8">
        <v>0</v>
      </c>
      <c r="S9" s="8">
        <v>0</v>
      </c>
      <c r="T9" s="8" t="s">
        <v>52</v>
      </c>
      <c r="U9" s="8" t="s">
        <v>52</v>
      </c>
      <c r="V9" s="8" t="s">
        <v>52</v>
      </c>
      <c r="W9" s="8" t="s">
        <v>52</v>
      </c>
      <c r="X9" s="8" t="s">
        <v>52</v>
      </c>
      <c r="Y9" s="8" t="s">
        <v>52</v>
      </c>
      <c r="Z9" s="8" t="s">
        <v>52</v>
      </c>
      <c r="AA9" s="8" t="s">
        <v>52</v>
      </c>
      <c r="AB9" s="8" t="s">
        <v>52</v>
      </c>
      <c r="AC9" s="8" t="s">
        <v>52</v>
      </c>
      <c r="AD9" s="8" t="s">
        <v>52</v>
      </c>
      <c r="AE9" s="8" t="s">
        <v>52</v>
      </c>
    </row>
    <row r="10" spans="1:31" x14ac:dyDescent="0.3">
      <c r="A10" s="5" t="s">
        <v>157</v>
      </c>
      <c r="B10" s="8">
        <v>0.78154075176777071</v>
      </c>
      <c r="C10" s="8">
        <v>8.2579065130404619</v>
      </c>
      <c r="D10" s="8">
        <v>0</v>
      </c>
      <c r="E10" s="8">
        <v>0.63861758076634112</v>
      </c>
      <c r="F10" s="8">
        <v>1.228592702903947</v>
      </c>
      <c r="G10" s="8" t="s">
        <v>52</v>
      </c>
      <c r="H10" s="8">
        <v>6.19565198300151E-2</v>
      </c>
      <c r="I10" s="8" t="s">
        <v>52</v>
      </c>
      <c r="J10" s="8" t="s">
        <v>52</v>
      </c>
      <c r="K10" s="8" t="s">
        <v>52</v>
      </c>
      <c r="L10" s="8" t="s">
        <v>52</v>
      </c>
      <c r="M10" s="8" t="s">
        <v>52</v>
      </c>
      <c r="N10" s="8" t="s">
        <v>52</v>
      </c>
      <c r="O10" s="8" t="s">
        <v>52</v>
      </c>
      <c r="P10" s="8" t="s">
        <v>52</v>
      </c>
      <c r="Q10" s="8">
        <v>0</v>
      </c>
      <c r="R10" s="8">
        <v>0</v>
      </c>
      <c r="S10" s="8">
        <v>0</v>
      </c>
      <c r="T10" s="8" t="s">
        <v>52</v>
      </c>
      <c r="U10" s="8" t="s">
        <v>52</v>
      </c>
      <c r="V10" s="8" t="s">
        <v>52</v>
      </c>
      <c r="W10" s="8" t="s">
        <v>52</v>
      </c>
      <c r="X10" s="8" t="s">
        <v>52</v>
      </c>
      <c r="Y10" s="8" t="s">
        <v>52</v>
      </c>
      <c r="Z10" s="8" t="s">
        <v>52</v>
      </c>
      <c r="AA10" s="8" t="s">
        <v>52</v>
      </c>
      <c r="AB10" s="8" t="s">
        <v>52</v>
      </c>
      <c r="AC10" s="8" t="s">
        <v>52</v>
      </c>
      <c r="AD10" s="8" t="s">
        <v>52</v>
      </c>
      <c r="AE10" s="8" t="s">
        <v>52</v>
      </c>
    </row>
    <row r="11" spans="1:31" x14ac:dyDescent="0.3">
      <c r="A11" s="5" t="s">
        <v>158</v>
      </c>
      <c r="B11" s="8">
        <v>0.61491160645657184</v>
      </c>
      <c r="C11" s="8">
        <v>8.3261613308587368</v>
      </c>
      <c r="D11" s="8">
        <v>0</v>
      </c>
      <c r="E11" s="8">
        <v>0.28591851322373119</v>
      </c>
      <c r="F11" s="8">
        <v>0.5941329372447085</v>
      </c>
      <c r="G11" s="8" t="s">
        <v>52</v>
      </c>
      <c r="H11" s="8">
        <v>6.2753384712437299E-2</v>
      </c>
      <c r="I11" s="8" t="s">
        <v>52</v>
      </c>
      <c r="J11" s="8" t="s">
        <v>52</v>
      </c>
      <c r="K11" s="8" t="s">
        <v>52</v>
      </c>
      <c r="L11" s="8" t="s">
        <v>52</v>
      </c>
      <c r="M11" s="8" t="s">
        <v>52</v>
      </c>
      <c r="N11" s="8" t="s">
        <v>52</v>
      </c>
      <c r="O11" s="8" t="s">
        <v>52</v>
      </c>
      <c r="P11" s="8" t="s">
        <v>52</v>
      </c>
      <c r="Q11" s="8">
        <v>0</v>
      </c>
      <c r="R11" s="8">
        <v>0</v>
      </c>
      <c r="S11" s="8">
        <v>0</v>
      </c>
      <c r="T11" s="8" t="s">
        <v>52</v>
      </c>
      <c r="U11" s="8" t="s">
        <v>52</v>
      </c>
      <c r="V11" s="8" t="s">
        <v>52</v>
      </c>
      <c r="W11" s="8" t="s">
        <v>52</v>
      </c>
      <c r="X11" s="8" t="s">
        <v>52</v>
      </c>
      <c r="Y11" s="8" t="s">
        <v>52</v>
      </c>
      <c r="Z11" s="8" t="s">
        <v>52</v>
      </c>
      <c r="AA11" s="8" t="s">
        <v>52</v>
      </c>
      <c r="AB11" s="8" t="s">
        <v>52</v>
      </c>
      <c r="AC11" s="8" t="s">
        <v>52</v>
      </c>
      <c r="AD11" s="8" t="s">
        <v>52</v>
      </c>
      <c r="AE11" s="8" t="s">
        <v>52</v>
      </c>
    </row>
    <row r="12" spans="1:31" x14ac:dyDescent="0.3">
      <c r="A12" s="5" t="s">
        <v>159</v>
      </c>
      <c r="B12" s="8">
        <v>0.2986188876446435</v>
      </c>
      <c r="C12" s="8">
        <v>8.009181851641026</v>
      </c>
      <c r="D12" s="8">
        <v>0</v>
      </c>
      <c r="E12" s="8">
        <v>0.221157390342794</v>
      </c>
      <c r="F12" s="8">
        <v>0.90466249130132215</v>
      </c>
      <c r="G12" s="8" t="s">
        <v>52</v>
      </c>
      <c r="H12" s="8">
        <v>6.8004080244814677E-2</v>
      </c>
      <c r="I12" s="8" t="s">
        <v>52</v>
      </c>
      <c r="J12" s="8" t="s">
        <v>52</v>
      </c>
      <c r="K12" s="8" t="s">
        <v>52</v>
      </c>
      <c r="L12" s="8" t="s">
        <v>52</v>
      </c>
      <c r="M12" s="8" t="s">
        <v>52</v>
      </c>
      <c r="N12" s="8" t="s">
        <v>52</v>
      </c>
      <c r="O12" s="8" t="s">
        <v>52</v>
      </c>
      <c r="P12" s="8" t="s">
        <v>52</v>
      </c>
      <c r="Q12" s="8">
        <v>0</v>
      </c>
      <c r="R12" s="8">
        <v>0</v>
      </c>
      <c r="S12" s="8">
        <v>0</v>
      </c>
      <c r="T12" s="8" t="s">
        <v>52</v>
      </c>
      <c r="U12" s="8" t="s">
        <v>52</v>
      </c>
      <c r="V12" s="8" t="s">
        <v>52</v>
      </c>
      <c r="W12" s="8" t="s">
        <v>52</v>
      </c>
      <c r="X12" s="8" t="s">
        <v>52</v>
      </c>
      <c r="Y12" s="8" t="s">
        <v>52</v>
      </c>
      <c r="Z12" s="8" t="s">
        <v>52</v>
      </c>
      <c r="AA12" s="8" t="s">
        <v>52</v>
      </c>
      <c r="AB12" s="8" t="s">
        <v>52</v>
      </c>
      <c r="AC12" s="8" t="s">
        <v>52</v>
      </c>
      <c r="AD12" s="8" t="s">
        <v>52</v>
      </c>
      <c r="AE12" s="8" t="s">
        <v>52</v>
      </c>
    </row>
    <row r="13" spans="1:31" x14ac:dyDescent="0.3">
      <c r="A13" s="5" t="s">
        <v>160</v>
      </c>
      <c r="B13" s="8">
        <v>0.4600141542816702</v>
      </c>
      <c r="C13" s="8">
        <v>8.4065779203827109</v>
      </c>
      <c r="D13" s="8">
        <v>3.8654812524159261E-2</v>
      </c>
      <c r="E13" s="8">
        <v>0.21715526601520091</v>
      </c>
      <c r="F13" s="8">
        <v>2.0477815699658701</v>
      </c>
      <c r="G13" s="8" t="s">
        <v>52</v>
      </c>
      <c r="H13" s="8">
        <v>7.4316233629871456E-2</v>
      </c>
      <c r="I13" s="8" t="s">
        <v>52</v>
      </c>
      <c r="J13" s="8" t="s">
        <v>52</v>
      </c>
      <c r="K13" s="8" t="s">
        <v>52</v>
      </c>
      <c r="L13" s="8" t="s">
        <v>52</v>
      </c>
      <c r="M13" s="8" t="s">
        <v>52</v>
      </c>
      <c r="N13" s="8" t="s">
        <v>52</v>
      </c>
      <c r="O13" s="8" t="s">
        <v>52</v>
      </c>
      <c r="P13" s="8" t="s">
        <v>52</v>
      </c>
      <c r="Q13" s="8">
        <v>0</v>
      </c>
      <c r="R13" s="8">
        <v>0</v>
      </c>
      <c r="S13" s="8">
        <v>0</v>
      </c>
      <c r="T13" s="8" t="s">
        <v>52</v>
      </c>
      <c r="U13" s="8" t="s">
        <v>52</v>
      </c>
      <c r="V13" s="8" t="s">
        <v>52</v>
      </c>
      <c r="W13" s="8" t="s">
        <v>52</v>
      </c>
      <c r="X13" s="8" t="s">
        <v>52</v>
      </c>
      <c r="Y13" s="8" t="s">
        <v>52</v>
      </c>
      <c r="Z13" s="8" t="s">
        <v>52</v>
      </c>
      <c r="AA13" s="8" t="s">
        <v>52</v>
      </c>
      <c r="AB13" s="8" t="s">
        <v>52</v>
      </c>
      <c r="AC13" s="8" t="s">
        <v>52</v>
      </c>
      <c r="AD13" s="8" t="s">
        <v>52</v>
      </c>
      <c r="AE13" s="8" t="s">
        <v>52</v>
      </c>
    </row>
    <row r="14" spans="1:31" x14ac:dyDescent="0.3">
      <c r="A14" s="5" t="s">
        <v>161</v>
      </c>
      <c r="B14" s="8">
        <v>0.6906579425663395</v>
      </c>
      <c r="C14" s="8">
        <v>8.6623438093098688</v>
      </c>
      <c r="D14" s="8">
        <v>3.580379520229144E-2</v>
      </c>
      <c r="E14" s="8">
        <v>0.4195270785659802</v>
      </c>
      <c r="F14" s="8">
        <v>2.385389489377562</v>
      </c>
      <c r="G14" s="8" t="s">
        <v>52</v>
      </c>
      <c r="H14" s="8">
        <v>8.7272515843944409E-2</v>
      </c>
      <c r="I14" s="8" t="s">
        <v>52</v>
      </c>
      <c r="J14" s="8" t="s">
        <v>52</v>
      </c>
      <c r="K14" s="8" t="s">
        <v>52</v>
      </c>
      <c r="L14" s="8" t="s">
        <v>52</v>
      </c>
      <c r="M14" s="8" t="s">
        <v>52</v>
      </c>
      <c r="N14" s="8" t="s">
        <v>52</v>
      </c>
      <c r="O14" s="8" t="s">
        <v>52</v>
      </c>
      <c r="P14" s="8" t="s">
        <v>52</v>
      </c>
      <c r="Q14" s="8">
        <v>0</v>
      </c>
      <c r="R14" s="8">
        <v>0</v>
      </c>
      <c r="S14" s="8">
        <v>0</v>
      </c>
      <c r="T14" s="8" t="s">
        <v>52</v>
      </c>
      <c r="U14" s="8" t="s">
        <v>52</v>
      </c>
      <c r="V14" s="8" t="s">
        <v>52</v>
      </c>
      <c r="W14" s="8" t="s">
        <v>52</v>
      </c>
      <c r="X14" s="8" t="s">
        <v>52</v>
      </c>
      <c r="Y14" s="8" t="s">
        <v>52</v>
      </c>
      <c r="Z14" s="8" t="s">
        <v>52</v>
      </c>
      <c r="AA14" s="8" t="s">
        <v>52</v>
      </c>
      <c r="AB14" s="8" t="s">
        <v>52</v>
      </c>
      <c r="AC14" s="8" t="s">
        <v>52</v>
      </c>
      <c r="AD14" s="8" t="s">
        <v>52</v>
      </c>
      <c r="AE14" s="8" t="s">
        <v>52</v>
      </c>
    </row>
    <row r="15" spans="1:31" x14ac:dyDescent="0.3">
      <c r="A15" s="5" t="s">
        <v>162</v>
      </c>
      <c r="B15" s="8">
        <v>0.58884655351576032</v>
      </c>
      <c r="C15" s="8">
        <v>8.5553579752497466</v>
      </c>
      <c r="D15" s="8">
        <v>3.843197540353574E-2</v>
      </c>
      <c r="E15" s="8">
        <v>0.86385625431928137</v>
      </c>
      <c r="F15" s="8">
        <v>3.9548022598870061</v>
      </c>
      <c r="G15" s="8" t="s">
        <v>52</v>
      </c>
      <c r="H15" s="8">
        <v>0.1061372348144534</v>
      </c>
      <c r="I15" s="8" t="s">
        <v>52</v>
      </c>
      <c r="J15" s="8" t="s">
        <v>52</v>
      </c>
      <c r="K15" s="8" t="s">
        <v>52</v>
      </c>
      <c r="L15" s="8" t="s">
        <v>52</v>
      </c>
      <c r="M15" s="8" t="s">
        <v>52</v>
      </c>
      <c r="N15" s="8" t="s">
        <v>52</v>
      </c>
      <c r="O15" s="8" t="s">
        <v>52</v>
      </c>
      <c r="P15" s="8" t="s">
        <v>52</v>
      </c>
      <c r="Q15" s="8">
        <v>0</v>
      </c>
      <c r="R15" s="8">
        <v>0</v>
      </c>
      <c r="S15" s="8">
        <v>0</v>
      </c>
      <c r="T15" s="8" t="s">
        <v>52</v>
      </c>
      <c r="U15" s="8" t="s">
        <v>52</v>
      </c>
      <c r="V15" s="8" t="s">
        <v>52</v>
      </c>
      <c r="W15" s="8" t="s">
        <v>52</v>
      </c>
      <c r="X15" s="8" t="s">
        <v>52</v>
      </c>
      <c r="Y15" s="8" t="s">
        <v>52</v>
      </c>
      <c r="Z15" s="8" t="s">
        <v>52</v>
      </c>
      <c r="AA15" s="8" t="s">
        <v>52</v>
      </c>
      <c r="AB15" s="8" t="s">
        <v>52</v>
      </c>
      <c r="AC15" s="8" t="s">
        <v>52</v>
      </c>
      <c r="AD15" s="8" t="s">
        <v>52</v>
      </c>
      <c r="AE15" s="8" t="s">
        <v>52</v>
      </c>
    </row>
    <row r="16" spans="1:31" x14ac:dyDescent="0.3">
      <c r="A16" s="5" t="s">
        <v>163</v>
      </c>
      <c r="B16" s="8">
        <v>0.55555555555555547</v>
      </c>
      <c r="C16" s="8">
        <v>9.1281562927673097</v>
      </c>
      <c r="D16" s="8">
        <v>3.717472118959108E-2</v>
      </c>
      <c r="E16" s="8">
        <v>0.34039334341906202</v>
      </c>
      <c r="F16" s="8">
        <v>3.5262552702184751</v>
      </c>
      <c r="G16" s="8" t="s">
        <v>52</v>
      </c>
      <c r="H16" s="8">
        <v>0.1182927408409966</v>
      </c>
      <c r="I16" s="8" t="s">
        <v>52</v>
      </c>
      <c r="J16" s="8" t="s">
        <v>52</v>
      </c>
      <c r="K16" s="8" t="s">
        <v>52</v>
      </c>
      <c r="L16" s="8" t="s">
        <v>52</v>
      </c>
      <c r="M16" s="8" t="s">
        <v>52</v>
      </c>
      <c r="N16" s="8" t="s">
        <v>52</v>
      </c>
      <c r="O16" s="8" t="s">
        <v>52</v>
      </c>
      <c r="P16" s="8" t="s">
        <v>52</v>
      </c>
      <c r="Q16" s="8">
        <v>0</v>
      </c>
      <c r="R16" s="8">
        <v>0</v>
      </c>
      <c r="S16" s="8">
        <v>0</v>
      </c>
      <c r="T16" s="8" t="s">
        <v>52</v>
      </c>
      <c r="U16" s="8" t="s">
        <v>52</v>
      </c>
      <c r="V16" s="8" t="s">
        <v>52</v>
      </c>
      <c r="W16" s="8" t="s">
        <v>52</v>
      </c>
      <c r="X16" s="8" t="s">
        <v>52</v>
      </c>
      <c r="Y16" s="8" t="s">
        <v>52</v>
      </c>
      <c r="Z16" s="8" t="s">
        <v>52</v>
      </c>
      <c r="AA16" s="8" t="s">
        <v>52</v>
      </c>
      <c r="AB16" s="8" t="s">
        <v>52</v>
      </c>
      <c r="AC16" s="8" t="s">
        <v>52</v>
      </c>
      <c r="AD16" s="8" t="s">
        <v>52</v>
      </c>
      <c r="AE16" s="8" t="s">
        <v>52</v>
      </c>
    </row>
    <row r="17" spans="1:31" x14ac:dyDescent="0.3">
      <c r="A17" s="5" t="s">
        <v>164</v>
      </c>
      <c r="B17" s="8">
        <v>1.0475121586232701</v>
      </c>
      <c r="C17" s="8">
        <v>8.2578552178089115</v>
      </c>
      <c r="D17" s="8">
        <v>0.15203344735841889</v>
      </c>
      <c r="E17" s="8">
        <v>1.172465960665658</v>
      </c>
      <c r="F17" s="8">
        <v>3.553835327234343</v>
      </c>
      <c r="G17" s="8" t="s">
        <v>52</v>
      </c>
      <c r="H17" s="8">
        <v>0.1799397770742362</v>
      </c>
      <c r="I17" s="8" t="s">
        <v>52</v>
      </c>
      <c r="J17" s="8" t="s">
        <v>52</v>
      </c>
      <c r="K17" s="8" t="s">
        <v>52</v>
      </c>
      <c r="L17" s="8" t="s">
        <v>52</v>
      </c>
      <c r="M17" s="8" t="s">
        <v>52</v>
      </c>
      <c r="N17" s="8" t="s">
        <v>52</v>
      </c>
      <c r="O17" s="8" t="s">
        <v>52</v>
      </c>
      <c r="P17" s="8" t="s">
        <v>52</v>
      </c>
      <c r="Q17" s="8">
        <v>0</v>
      </c>
      <c r="R17" s="8">
        <v>0</v>
      </c>
      <c r="S17" s="8">
        <v>0</v>
      </c>
      <c r="T17" s="8" t="s">
        <v>52</v>
      </c>
      <c r="U17" s="8" t="s">
        <v>52</v>
      </c>
      <c r="V17" s="8" t="s">
        <v>52</v>
      </c>
      <c r="W17" s="8" t="s">
        <v>52</v>
      </c>
      <c r="X17" s="8" t="s">
        <v>52</v>
      </c>
      <c r="Y17" s="8" t="s">
        <v>52</v>
      </c>
      <c r="Z17" s="8" t="s">
        <v>52</v>
      </c>
      <c r="AA17" s="8" t="s">
        <v>52</v>
      </c>
      <c r="AB17" s="8" t="s">
        <v>52</v>
      </c>
      <c r="AC17" s="8" t="s">
        <v>52</v>
      </c>
      <c r="AD17" s="8" t="s">
        <v>52</v>
      </c>
      <c r="AE17" s="8" t="s">
        <v>52</v>
      </c>
    </row>
    <row r="18" spans="1:31" x14ac:dyDescent="0.3">
      <c r="A18" s="5" t="s">
        <v>165</v>
      </c>
      <c r="B18" s="8">
        <v>0</v>
      </c>
      <c r="C18" s="8">
        <v>7.1524352033577303</v>
      </c>
      <c r="D18" s="8">
        <v>0</v>
      </c>
      <c r="E18" s="8">
        <v>0</v>
      </c>
      <c r="F18" s="8">
        <v>0</v>
      </c>
      <c r="G18" s="8" t="s">
        <v>52</v>
      </c>
      <c r="H18" s="8">
        <v>0</v>
      </c>
      <c r="I18" s="8" t="s">
        <v>52</v>
      </c>
      <c r="J18" s="8" t="s">
        <v>52</v>
      </c>
      <c r="K18" s="8" t="s">
        <v>52</v>
      </c>
      <c r="L18" s="8" t="s">
        <v>52</v>
      </c>
      <c r="M18" s="8" t="s">
        <v>52</v>
      </c>
      <c r="N18" s="8" t="s">
        <v>52</v>
      </c>
      <c r="O18" s="8" t="s">
        <v>52</v>
      </c>
      <c r="P18" s="8" t="s">
        <v>52</v>
      </c>
      <c r="Q18" s="8">
        <v>0</v>
      </c>
      <c r="R18" s="8">
        <v>0</v>
      </c>
      <c r="S18" s="8">
        <v>0</v>
      </c>
      <c r="T18" s="8" t="s">
        <v>52</v>
      </c>
      <c r="U18" s="8" t="s">
        <v>52</v>
      </c>
      <c r="V18" s="8" t="s">
        <v>52</v>
      </c>
      <c r="W18" s="8" t="s">
        <v>52</v>
      </c>
      <c r="X18" s="8" t="s">
        <v>52</v>
      </c>
      <c r="Y18" s="8" t="s">
        <v>52</v>
      </c>
      <c r="Z18" s="8" t="s">
        <v>52</v>
      </c>
      <c r="AA18" s="8" t="s">
        <v>52</v>
      </c>
      <c r="AB18" s="8" t="s">
        <v>52</v>
      </c>
      <c r="AC18" s="8" t="s">
        <v>52</v>
      </c>
      <c r="AD18" s="8" t="s">
        <v>52</v>
      </c>
      <c r="AE18" s="8" t="s">
        <v>52</v>
      </c>
    </row>
    <row r="19" spans="1:31" x14ac:dyDescent="0.3">
      <c r="A19" s="5" t="s">
        <v>166</v>
      </c>
      <c r="B19" s="8">
        <v>0.5064277366575769</v>
      </c>
      <c r="C19" s="8">
        <v>8.0872770707466568</v>
      </c>
      <c r="D19" s="8">
        <v>0</v>
      </c>
      <c r="E19" s="8">
        <v>0.13874436351023239</v>
      </c>
      <c r="F19" s="8">
        <v>0.18368846436443789</v>
      </c>
      <c r="G19" s="8" t="s">
        <v>52</v>
      </c>
      <c r="H19" s="8">
        <v>0</v>
      </c>
      <c r="I19" s="8" t="s">
        <v>52</v>
      </c>
      <c r="J19" s="8" t="s">
        <v>52</v>
      </c>
      <c r="K19" s="8" t="s">
        <v>52</v>
      </c>
      <c r="L19" s="8" t="s">
        <v>52</v>
      </c>
      <c r="M19" s="8" t="s">
        <v>52</v>
      </c>
      <c r="N19" s="8" t="s">
        <v>52</v>
      </c>
      <c r="O19" s="8" t="s">
        <v>52</v>
      </c>
      <c r="P19" s="8" t="s">
        <v>52</v>
      </c>
      <c r="Q19" s="8">
        <v>0</v>
      </c>
      <c r="R19" s="8">
        <v>0</v>
      </c>
      <c r="S19" s="8">
        <v>0</v>
      </c>
      <c r="T19" s="8" t="s">
        <v>52</v>
      </c>
      <c r="U19" s="8" t="s">
        <v>52</v>
      </c>
      <c r="V19" s="8" t="s">
        <v>52</v>
      </c>
      <c r="W19" s="8" t="s">
        <v>52</v>
      </c>
      <c r="X19" s="8" t="s">
        <v>52</v>
      </c>
      <c r="Y19" s="8" t="s">
        <v>52</v>
      </c>
      <c r="Z19" s="8" t="s">
        <v>52</v>
      </c>
      <c r="AA19" s="8" t="s">
        <v>52</v>
      </c>
      <c r="AB19" s="8" t="s">
        <v>52</v>
      </c>
      <c r="AC19" s="8" t="s">
        <v>52</v>
      </c>
      <c r="AD19" s="8" t="s">
        <v>52</v>
      </c>
      <c r="AE19" s="8" t="s">
        <v>52</v>
      </c>
    </row>
    <row r="20" spans="1:31" x14ac:dyDescent="0.3">
      <c r="A20" s="5" t="s">
        <v>167</v>
      </c>
      <c r="B20" s="8">
        <v>0.2479631597591215</v>
      </c>
      <c r="C20" s="8">
        <v>8.4127798349189984</v>
      </c>
      <c r="D20" s="8">
        <v>0</v>
      </c>
      <c r="E20" s="8">
        <v>0.44776119402985082</v>
      </c>
      <c r="F20" s="8">
        <v>0.52025269416573761</v>
      </c>
      <c r="G20" s="8" t="s">
        <v>52</v>
      </c>
      <c r="H20" s="8">
        <v>0</v>
      </c>
      <c r="I20" s="8" t="s">
        <v>52</v>
      </c>
      <c r="J20" s="8" t="s">
        <v>52</v>
      </c>
      <c r="K20" s="8" t="s">
        <v>52</v>
      </c>
      <c r="L20" s="8" t="s">
        <v>52</v>
      </c>
      <c r="M20" s="8" t="s">
        <v>52</v>
      </c>
      <c r="N20" s="8" t="s">
        <v>52</v>
      </c>
      <c r="O20" s="8" t="s">
        <v>52</v>
      </c>
      <c r="P20" s="8" t="s">
        <v>52</v>
      </c>
      <c r="Q20" s="8">
        <v>0</v>
      </c>
      <c r="R20" s="8">
        <v>0</v>
      </c>
      <c r="S20" s="8">
        <v>0</v>
      </c>
      <c r="T20" s="8" t="s">
        <v>52</v>
      </c>
      <c r="U20" s="8" t="s">
        <v>52</v>
      </c>
      <c r="V20" s="8" t="s">
        <v>52</v>
      </c>
      <c r="W20" s="8" t="s">
        <v>52</v>
      </c>
      <c r="X20" s="8" t="s">
        <v>52</v>
      </c>
      <c r="Y20" s="8" t="s">
        <v>52</v>
      </c>
      <c r="Z20" s="8" t="s">
        <v>52</v>
      </c>
      <c r="AA20" s="8" t="s">
        <v>52</v>
      </c>
      <c r="AB20" s="8" t="s">
        <v>52</v>
      </c>
      <c r="AC20" s="8" t="s">
        <v>52</v>
      </c>
      <c r="AD20" s="8" t="s">
        <v>52</v>
      </c>
      <c r="AE20" s="8" t="s">
        <v>52</v>
      </c>
    </row>
    <row r="21" spans="1:31" x14ac:dyDescent="0.3">
      <c r="A21" s="5" t="s">
        <v>168</v>
      </c>
      <c r="B21" s="8">
        <v>0.41039671682626538</v>
      </c>
      <c r="C21" s="8">
        <v>8.3144214151666631</v>
      </c>
      <c r="D21" s="8">
        <v>0</v>
      </c>
      <c r="E21" s="8">
        <v>0.55473372781065089</v>
      </c>
      <c r="F21" s="8">
        <v>0.73133179368745183</v>
      </c>
      <c r="G21" s="8" t="s">
        <v>52</v>
      </c>
      <c r="H21" s="8">
        <v>5.8867593636477518E-3</v>
      </c>
      <c r="I21" s="8" t="s">
        <v>52</v>
      </c>
      <c r="J21" s="8" t="s">
        <v>52</v>
      </c>
      <c r="K21" s="8" t="s">
        <v>52</v>
      </c>
      <c r="L21" s="8" t="s">
        <v>52</v>
      </c>
      <c r="M21" s="8" t="s">
        <v>52</v>
      </c>
      <c r="N21" s="8" t="s">
        <v>52</v>
      </c>
      <c r="O21" s="8" t="s">
        <v>52</v>
      </c>
      <c r="P21" s="8" t="s">
        <v>52</v>
      </c>
      <c r="Q21" s="8">
        <v>0</v>
      </c>
      <c r="R21" s="8">
        <v>0</v>
      </c>
      <c r="S21" s="8">
        <v>0</v>
      </c>
      <c r="T21" s="8" t="s">
        <v>52</v>
      </c>
      <c r="U21" s="8" t="s">
        <v>52</v>
      </c>
      <c r="V21" s="8" t="s">
        <v>52</v>
      </c>
      <c r="W21" s="8" t="s">
        <v>52</v>
      </c>
      <c r="X21" s="8" t="s">
        <v>52</v>
      </c>
      <c r="Y21" s="8" t="s">
        <v>52</v>
      </c>
      <c r="Z21" s="8" t="s">
        <v>52</v>
      </c>
      <c r="AA21" s="8" t="s">
        <v>52</v>
      </c>
      <c r="AB21" s="8" t="s">
        <v>52</v>
      </c>
      <c r="AC21" s="8" t="s">
        <v>52</v>
      </c>
      <c r="AD21" s="8" t="s">
        <v>52</v>
      </c>
      <c r="AE21" s="8" t="s">
        <v>52</v>
      </c>
    </row>
    <row r="22" spans="1:31" x14ac:dyDescent="0.3">
      <c r="A22" s="5" t="s">
        <v>169</v>
      </c>
      <c r="B22" s="8">
        <v>0.29940119760479039</v>
      </c>
      <c r="C22" s="8">
        <v>8.3965816973879672</v>
      </c>
      <c r="D22" s="8">
        <v>3.7565740045078892E-2</v>
      </c>
      <c r="E22" s="8">
        <v>0.53333333333333333</v>
      </c>
      <c r="F22" s="8">
        <v>1.679171132547338</v>
      </c>
      <c r="G22" s="8" t="s">
        <v>52</v>
      </c>
      <c r="H22" s="8">
        <v>1.2750352130797209E-2</v>
      </c>
      <c r="I22" s="8" t="s">
        <v>52</v>
      </c>
      <c r="J22" s="8" t="s">
        <v>52</v>
      </c>
      <c r="K22" s="8" t="s">
        <v>52</v>
      </c>
      <c r="L22" s="8" t="s">
        <v>52</v>
      </c>
      <c r="M22" s="8" t="s">
        <v>52</v>
      </c>
      <c r="N22" s="8" t="s">
        <v>52</v>
      </c>
      <c r="O22" s="8" t="s">
        <v>52</v>
      </c>
      <c r="P22" s="8" t="s">
        <v>52</v>
      </c>
      <c r="Q22" s="8">
        <v>0</v>
      </c>
      <c r="R22" s="8">
        <v>0</v>
      </c>
      <c r="S22" s="8">
        <v>0</v>
      </c>
      <c r="T22" s="8" t="s">
        <v>52</v>
      </c>
      <c r="U22" s="8" t="s">
        <v>52</v>
      </c>
      <c r="V22" s="8" t="s">
        <v>52</v>
      </c>
      <c r="W22" s="8" t="s">
        <v>52</v>
      </c>
      <c r="X22" s="8" t="s">
        <v>52</v>
      </c>
      <c r="Y22" s="8" t="s">
        <v>52</v>
      </c>
      <c r="Z22" s="8" t="s">
        <v>52</v>
      </c>
      <c r="AA22" s="8" t="s">
        <v>52</v>
      </c>
      <c r="AB22" s="8" t="s">
        <v>52</v>
      </c>
      <c r="AC22" s="8" t="s">
        <v>52</v>
      </c>
      <c r="AD22" s="8" t="s">
        <v>52</v>
      </c>
      <c r="AE22" s="8" t="s">
        <v>52</v>
      </c>
    </row>
    <row r="23" spans="1:31" x14ac:dyDescent="0.3">
      <c r="A23" s="5" t="s">
        <v>170</v>
      </c>
      <c r="B23" s="8">
        <v>0.37064492216456629</v>
      </c>
      <c r="C23" s="8">
        <v>8.1161988352540195</v>
      </c>
      <c r="D23" s="8">
        <v>0</v>
      </c>
      <c r="E23" s="8">
        <v>0.14942099364960779</v>
      </c>
      <c r="F23" s="8">
        <v>3.4116755117513269</v>
      </c>
      <c r="G23" s="8" t="s">
        <v>52</v>
      </c>
      <c r="H23" s="8">
        <v>6.393044367727912E-3</v>
      </c>
      <c r="I23" s="8" t="s">
        <v>52</v>
      </c>
      <c r="J23" s="8" t="s">
        <v>52</v>
      </c>
      <c r="K23" s="8" t="s">
        <v>52</v>
      </c>
      <c r="L23" s="8" t="s">
        <v>52</v>
      </c>
      <c r="M23" s="8" t="s">
        <v>52</v>
      </c>
      <c r="N23" s="8" t="s">
        <v>52</v>
      </c>
      <c r="O23" s="8" t="s">
        <v>52</v>
      </c>
      <c r="P23" s="8" t="s">
        <v>52</v>
      </c>
      <c r="Q23" s="8">
        <v>0</v>
      </c>
      <c r="R23" s="8">
        <v>0</v>
      </c>
      <c r="S23" s="8">
        <v>0</v>
      </c>
      <c r="T23" s="8" t="s">
        <v>52</v>
      </c>
      <c r="U23" s="8" t="s">
        <v>52</v>
      </c>
      <c r="V23" s="8" t="s">
        <v>52</v>
      </c>
      <c r="W23" s="8" t="s">
        <v>52</v>
      </c>
      <c r="X23" s="8" t="s">
        <v>52</v>
      </c>
      <c r="Y23" s="8" t="s">
        <v>52</v>
      </c>
      <c r="Z23" s="8" t="s">
        <v>52</v>
      </c>
      <c r="AA23" s="8" t="s">
        <v>52</v>
      </c>
      <c r="AB23" s="8" t="s">
        <v>52</v>
      </c>
      <c r="AC23" s="8" t="s">
        <v>52</v>
      </c>
      <c r="AD23" s="8" t="s">
        <v>52</v>
      </c>
      <c r="AE23" s="8" t="s">
        <v>52</v>
      </c>
    </row>
    <row r="24" spans="1:31" x14ac:dyDescent="0.3">
      <c r="A24" s="5" t="s">
        <v>171</v>
      </c>
      <c r="B24" s="8">
        <v>0.63424947145877375</v>
      </c>
      <c r="C24" s="8">
        <v>8.2839332227922586</v>
      </c>
      <c r="D24" s="8">
        <v>0</v>
      </c>
      <c r="E24" s="8">
        <v>0.4686373467916366</v>
      </c>
      <c r="F24" s="8">
        <v>6.5804488398630658</v>
      </c>
      <c r="G24" s="8" t="s">
        <v>52</v>
      </c>
      <c r="H24" s="8">
        <v>1.9033117624666921E-2</v>
      </c>
      <c r="I24" s="8" t="s">
        <v>52</v>
      </c>
      <c r="J24" s="8" t="s">
        <v>52</v>
      </c>
      <c r="K24" s="8" t="s">
        <v>52</v>
      </c>
      <c r="L24" s="8" t="s">
        <v>52</v>
      </c>
      <c r="M24" s="8" t="s">
        <v>52</v>
      </c>
      <c r="N24" s="8" t="s">
        <v>52</v>
      </c>
      <c r="O24" s="8" t="s">
        <v>52</v>
      </c>
      <c r="P24" s="8" t="s">
        <v>52</v>
      </c>
      <c r="Q24" s="8">
        <v>0</v>
      </c>
      <c r="R24" s="8">
        <v>0</v>
      </c>
      <c r="S24" s="8">
        <v>0</v>
      </c>
      <c r="T24" s="8" t="s">
        <v>52</v>
      </c>
      <c r="U24" s="8" t="s">
        <v>52</v>
      </c>
      <c r="V24" s="8" t="s">
        <v>52</v>
      </c>
      <c r="W24" s="8" t="s">
        <v>52</v>
      </c>
      <c r="X24" s="8" t="s">
        <v>52</v>
      </c>
      <c r="Y24" s="8" t="s">
        <v>52</v>
      </c>
      <c r="Z24" s="8" t="s">
        <v>52</v>
      </c>
      <c r="AA24" s="8" t="s">
        <v>52</v>
      </c>
      <c r="AB24" s="8" t="s">
        <v>52</v>
      </c>
      <c r="AC24" s="8" t="s">
        <v>52</v>
      </c>
      <c r="AD24" s="8" t="s">
        <v>52</v>
      </c>
      <c r="AE24" s="8" t="s">
        <v>52</v>
      </c>
    </row>
    <row r="25" spans="1:31" x14ac:dyDescent="0.3">
      <c r="A25" s="5" t="s">
        <v>172</v>
      </c>
      <c r="B25" s="8">
        <v>0.46197583511016349</v>
      </c>
      <c r="C25" s="8">
        <v>8.7531890867806066</v>
      </c>
      <c r="D25" s="8">
        <v>0</v>
      </c>
      <c r="E25" s="8">
        <v>0.74990626171728525</v>
      </c>
      <c r="F25" s="8">
        <v>12.19068413391558</v>
      </c>
      <c r="G25" s="8" t="s">
        <v>52</v>
      </c>
      <c r="H25" s="8">
        <v>3.010597302504817E-2</v>
      </c>
      <c r="I25" s="8" t="s">
        <v>52</v>
      </c>
      <c r="J25" s="8" t="s">
        <v>52</v>
      </c>
      <c r="K25" s="8" t="s">
        <v>52</v>
      </c>
      <c r="L25" s="8" t="s">
        <v>52</v>
      </c>
      <c r="M25" s="8" t="s">
        <v>52</v>
      </c>
      <c r="N25" s="8" t="s">
        <v>52</v>
      </c>
      <c r="O25" s="8" t="s">
        <v>52</v>
      </c>
      <c r="P25" s="8" t="s">
        <v>52</v>
      </c>
      <c r="Q25" s="8">
        <v>0</v>
      </c>
      <c r="R25" s="8">
        <v>0</v>
      </c>
      <c r="S25" s="8">
        <v>0</v>
      </c>
      <c r="T25" s="8" t="s">
        <v>52</v>
      </c>
      <c r="U25" s="8" t="s">
        <v>52</v>
      </c>
      <c r="V25" s="8" t="s">
        <v>52</v>
      </c>
      <c r="W25" s="8" t="s">
        <v>52</v>
      </c>
      <c r="X25" s="8" t="s">
        <v>52</v>
      </c>
      <c r="Y25" s="8" t="s">
        <v>52</v>
      </c>
      <c r="Z25" s="8" t="s">
        <v>52</v>
      </c>
      <c r="AA25" s="8" t="s">
        <v>52</v>
      </c>
      <c r="AB25" s="8" t="s">
        <v>52</v>
      </c>
      <c r="AC25" s="8" t="s">
        <v>52</v>
      </c>
      <c r="AD25" s="8" t="s">
        <v>52</v>
      </c>
      <c r="AE25" s="8" t="s">
        <v>52</v>
      </c>
    </row>
    <row r="26" spans="1:31" x14ac:dyDescent="0.3">
      <c r="A26" s="5" t="s">
        <v>173</v>
      </c>
      <c r="B26" s="8">
        <v>0.84839542604205098</v>
      </c>
      <c r="C26" s="8">
        <v>8.370307300728399</v>
      </c>
      <c r="D26" s="8">
        <v>8.1300813008130079E-2</v>
      </c>
      <c r="E26" s="8">
        <v>0.1940240589833139</v>
      </c>
      <c r="F26" s="8">
        <v>26.595744680851059</v>
      </c>
      <c r="G26" s="8" t="s">
        <v>52</v>
      </c>
      <c r="H26" s="8">
        <v>5.6342697513855317E-2</v>
      </c>
      <c r="I26" s="8" t="s">
        <v>52</v>
      </c>
      <c r="J26" s="8" t="s">
        <v>52</v>
      </c>
      <c r="K26" s="8" t="s">
        <v>52</v>
      </c>
      <c r="L26" s="8" t="s">
        <v>52</v>
      </c>
      <c r="M26" s="8" t="s">
        <v>52</v>
      </c>
      <c r="N26" s="8" t="s">
        <v>52</v>
      </c>
      <c r="O26" s="8" t="s">
        <v>52</v>
      </c>
      <c r="P26" s="8" t="s">
        <v>52</v>
      </c>
      <c r="Q26" s="8">
        <v>0</v>
      </c>
      <c r="R26" s="8">
        <v>0</v>
      </c>
      <c r="S26" s="8">
        <v>0</v>
      </c>
      <c r="T26" s="8" t="s">
        <v>52</v>
      </c>
      <c r="U26" s="8" t="s">
        <v>52</v>
      </c>
      <c r="V26" s="8" t="s">
        <v>52</v>
      </c>
      <c r="W26" s="8" t="s">
        <v>52</v>
      </c>
      <c r="X26" s="8" t="s">
        <v>52</v>
      </c>
      <c r="Y26" s="8" t="s">
        <v>52</v>
      </c>
      <c r="Z26" s="8" t="s">
        <v>52</v>
      </c>
      <c r="AA26" s="8" t="s">
        <v>52</v>
      </c>
      <c r="AB26" s="8" t="s">
        <v>52</v>
      </c>
      <c r="AC26" s="8" t="s">
        <v>52</v>
      </c>
      <c r="AD26" s="8" t="s">
        <v>52</v>
      </c>
      <c r="AE26" s="8" t="s">
        <v>52</v>
      </c>
    </row>
    <row r="27" spans="1:31" x14ac:dyDescent="0.3">
      <c r="A27" s="5" t="s">
        <v>174</v>
      </c>
      <c r="B27" s="8">
        <v>0.38699690402476777</v>
      </c>
      <c r="C27" s="8">
        <v>9.1928961532545639</v>
      </c>
      <c r="D27" s="8">
        <v>0.11385199240986719</v>
      </c>
      <c r="E27" s="8">
        <v>0.38088642659279781</v>
      </c>
      <c r="F27" s="8">
        <v>33.851535172949873</v>
      </c>
      <c r="G27" s="8" t="s">
        <v>52</v>
      </c>
      <c r="H27" s="8">
        <v>2.9202124170339142E-2</v>
      </c>
      <c r="I27" s="8" t="s">
        <v>52</v>
      </c>
      <c r="J27" s="8" t="s">
        <v>52</v>
      </c>
      <c r="K27" s="8" t="s">
        <v>52</v>
      </c>
      <c r="L27" s="8" t="s">
        <v>52</v>
      </c>
      <c r="M27" s="8" t="s">
        <v>52</v>
      </c>
      <c r="N27" s="8" t="s">
        <v>52</v>
      </c>
      <c r="O27" s="8" t="s">
        <v>52</v>
      </c>
      <c r="P27" s="8" t="s">
        <v>52</v>
      </c>
      <c r="Q27" s="8">
        <v>0</v>
      </c>
      <c r="R27" s="8">
        <v>0</v>
      </c>
      <c r="S27" s="8">
        <v>0</v>
      </c>
      <c r="T27" s="8" t="s">
        <v>52</v>
      </c>
      <c r="U27" s="8" t="s">
        <v>52</v>
      </c>
      <c r="V27" s="8" t="s">
        <v>52</v>
      </c>
      <c r="W27" s="8" t="s">
        <v>52</v>
      </c>
      <c r="X27" s="8" t="s">
        <v>52</v>
      </c>
      <c r="Y27" s="8" t="s">
        <v>52</v>
      </c>
      <c r="Z27" s="8" t="s">
        <v>52</v>
      </c>
      <c r="AA27" s="8" t="s">
        <v>52</v>
      </c>
      <c r="AB27" s="8" t="s">
        <v>52</v>
      </c>
      <c r="AC27" s="8" t="s">
        <v>52</v>
      </c>
      <c r="AD27" s="8" t="s">
        <v>52</v>
      </c>
      <c r="AE27" s="8" t="s">
        <v>52</v>
      </c>
    </row>
    <row r="28" spans="1:31" x14ac:dyDescent="0.3">
      <c r="A28" s="5" t="s">
        <v>175</v>
      </c>
      <c r="B28" s="8">
        <v>0.33695245226506931</v>
      </c>
      <c r="C28" s="8">
        <v>8.8665486007996126</v>
      </c>
      <c r="D28" s="8">
        <v>0.1139817629179331</v>
      </c>
      <c r="E28" s="8">
        <v>0.55440055440055436</v>
      </c>
      <c r="F28" s="8">
        <v>47.230538922155702</v>
      </c>
      <c r="G28" s="8" t="s">
        <v>52</v>
      </c>
      <c r="H28" s="8">
        <v>0.1667916229319738</v>
      </c>
      <c r="I28" s="8" t="s">
        <v>52</v>
      </c>
      <c r="J28" s="8" t="s">
        <v>52</v>
      </c>
      <c r="K28" s="8" t="s">
        <v>52</v>
      </c>
      <c r="L28" s="8" t="s">
        <v>52</v>
      </c>
      <c r="M28" s="8" t="s">
        <v>52</v>
      </c>
      <c r="N28" s="8" t="s">
        <v>52</v>
      </c>
      <c r="O28" s="8" t="s">
        <v>52</v>
      </c>
      <c r="P28" s="8" t="s">
        <v>52</v>
      </c>
      <c r="Q28" s="8">
        <v>0</v>
      </c>
      <c r="R28" s="8">
        <v>0</v>
      </c>
      <c r="S28" s="8">
        <v>0</v>
      </c>
      <c r="T28" s="8" t="s">
        <v>52</v>
      </c>
      <c r="U28" s="8" t="s">
        <v>52</v>
      </c>
      <c r="V28" s="8" t="s">
        <v>52</v>
      </c>
      <c r="W28" s="8" t="s">
        <v>52</v>
      </c>
      <c r="X28" s="8" t="s">
        <v>52</v>
      </c>
      <c r="Y28" s="8" t="s">
        <v>52</v>
      </c>
      <c r="Z28" s="8" t="s">
        <v>52</v>
      </c>
      <c r="AA28" s="8" t="s">
        <v>52</v>
      </c>
      <c r="AB28" s="8" t="s">
        <v>52</v>
      </c>
      <c r="AC28" s="8" t="s">
        <v>52</v>
      </c>
      <c r="AD28" s="8" t="s">
        <v>52</v>
      </c>
      <c r="AE28" s="8" t="s">
        <v>52</v>
      </c>
    </row>
    <row r="29" spans="1:31" x14ac:dyDescent="0.3">
      <c r="A29" s="5" t="s">
        <v>176</v>
      </c>
      <c r="B29" s="8">
        <v>0</v>
      </c>
      <c r="C29" s="8">
        <v>7.8599191538234514</v>
      </c>
      <c r="D29" s="8">
        <v>0</v>
      </c>
      <c r="E29" s="8">
        <v>0</v>
      </c>
      <c r="F29" s="8">
        <v>0</v>
      </c>
      <c r="G29" s="8" t="s">
        <v>52</v>
      </c>
      <c r="H29" s="8">
        <v>0</v>
      </c>
      <c r="I29" s="8" t="s">
        <v>52</v>
      </c>
      <c r="J29" s="8" t="s">
        <v>52</v>
      </c>
      <c r="K29" s="8" t="s">
        <v>52</v>
      </c>
      <c r="L29" s="8" t="s">
        <v>52</v>
      </c>
      <c r="M29" s="8" t="s">
        <v>52</v>
      </c>
      <c r="N29" s="8" t="s">
        <v>52</v>
      </c>
      <c r="O29" s="8" t="s">
        <v>52</v>
      </c>
      <c r="P29" s="8" t="s">
        <v>52</v>
      </c>
      <c r="Q29" s="8">
        <v>0</v>
      </c>
      <c r="R29" s="8">
        <v>0</v>
      </c>
      <c r="S29" s="8">
        <v>0</v>
      </c>
      <c r="T29" s="8" t="s">
        <v>52</v>
      </c>
      <c r="U29" s="8" t="s">
        <v>52</v>
      </c>
      <c r="V29" s="8" t="s">
        <v>52</v>
      </c>
      <c r="W29" s="8" t="s">
        <v>52</v>
      </c>
      <c r="X29" s="8" t="s">
        <v>52</v>
      </c>
      <c r="Y29" s="8" t="s">
        <v>52</v>
      </c>
      <c r="Z29" s="8" t="s">
        <v>52</v>
      </c>
      <c r="AA29" s="8" t="s">
        <v>52</v>
      </c>
      <c r="AB29" s="8" t="s">
        <v>52</v>
      </c>
      <c r="AC29" s="8" t="s">
        <v>52</v>
      </c>
      <c r="AD29" s="8" t="s">
        <v>52</v>
      </c>
      <c r="AE29" s="8" t="s">
        <v>52</v>
      </c>
    </row>
    <row r="30" spans="1:31" x14ac:dyDescent="0.3">
      <c r="A30" s="5" t="s">
        <v>177</v>
      </c>
      <c r="B30" s="8">
        <v>0.61151079136690645</v>
      </c>
      <c r="C30" s="8">
        <v>8.1722101067180741</v>
      </c>
      <c r="D30" s="8">
        <v>3.4090043587978888E-2</v>
      </c>
      <c r="E30" s="8">
        <v>0.26465028355387521</v>
      </c>
      <c r="F30" s="8">
        <v>0.29271862422246619</v>
      </c>
      <c r="G30" s="8" t="s">
        <v>52</v>
      </c>
      <c r="H30" s="8">
        <v>0</v>
      </c>
      <c r="I30" s="8" t="s">
        <v>52</v>
      </c>
      <c r="J30" s="8" t="s">
        <v>52</v>
      </c>
      <c r="K30" s="8" t="s">
        <v>52</v>
      </c>
      <c r="L30" s="8" t="s">
        <v>52</v>
      </c>
      <c r="M30" s="8" t="s">
        <v>52</v>
      </c>
      <c r="N30" s="8" t="s">
        <v>52</v>
      </c>
      <c r="O30" s="8" t="s">
        <v>52</v>
      </c>
      <c r="P30" s="8" t="s">
        <v>52</v>
      </c>
      <c r="Q30" s="8">
        <v>0</v>
      </c>
      <c r="R30" s="8">
        <v>0</v>
      </c>
      <c r="S30" s="8">
        <v>0</v>
      </c>
      <c r="T30" s="8" t="s">
        <v>52</v>
      </c>
      <c r="U30" s="8" t="s">
        <v>52</v>
      </c>
      <c r="V30" s="8" t="s">
        <v>52</v>
      </c>
      <c r="W30" s="8" t="s">
        <v>52</v>
      </c>
      <c r="X30" s="8" t="s">
        <v>52</v>
      </c>
      <c r="Y30" s="8" t="s">
        <v>52</v>
      </c>
      <c r="Z30" s="8" t="s">
        <v>52</v>
      </c>
      <c r="AA30" s="8" t="s">
        <v>52</v>
      </c>
      <c r="AB30" s="8" t="s">
        <v>52</v>
      </c>
      <c r="AC30" s="8" t="s">
        <v>52</v>
      </c>
      <c r="AD30" s="8" t="s">
        <v>52</v>
      </c>
      <c r="AE30" s="8" t="s">
        <v>52</v>
      </c>
    </row>
    <row r="31" spans="1:31" x14ac:dyDescent="0.3">
      <c r="A31" s="5" t="s">
        <v>178</v>
      </c>
      <c r="B31" s="8">
        <v>0.18484288354898329</v>
      </c>
      <c r="C31" s="8">
        <v>8.2467720231210944</v>
      </c>
      <c r="D31" s="8">
        <v>0</v>
      </c>
      <c r="E31" s="8">
        <v>0.22514071294559099</v>
      </c>
      <c r="F31" s="8">
        <v>0.351123595505618</v>
      </c>
      <c r="G31" s="8" t="s">
        <v>52</v>
      </c>
      <c r="H31" s="8">
        <v>0</v>
      </c>
      <c r="I31" s="8" t="s">
        <v>52</v>
      </c>
      <c r="J31" s="8" t="s">
        <v>52</v>
      </c>
      <c r="K31" s="8" t="s">
        <v>52</v>
      </c>
      <c r="L31" s="8" t="s">
        <v>52</v>
      </c>
      <c r="M31" s="8" t="s">
        <v>52</v>
      </c>
      <c r="N31" s="8" t="s">
        <v>52</v>
      </c>
      <c r="O31" s="8" t="s">
        <v>52</v>
      </c>
      <c r="P31" s="8" t="s">
        <v>52</v>
      </c>
      <c r="Q31" s="8">
        <v>0</v>
      </c>
      <c r="R31" s="8">
        <v>0</v>
      </c>
      <c r="S31" s="8">
        <v>0</v>
      </c>
      <c r="T31" s="8" t="s">
        <v>52</v>
      </c>
      <c r="U31" s="8" t="s">
        <v>52</v>
      </c>
      <c r="V31" s="8" t="s">
        <v>52</v>
      </c>
      <c r="W31" s="8" t="s">
        <v>52</v>
      </c>
      <c r="X31" s="8" t="s">
        <v>52</v>
      </c>
      <c r="Y31" s="8" t="s">
        <v>52</v>
      </c>
      <c r="Z31" s="8" t="s">
        <v>52</v>
      </c>
      <c r="AA31" s="8" t="s">
        <v>52</v>
      </c>
      <c r="AB31" s="8" t="s">
        <v>52</v>
      </c>
      <c r="AC31" s="8" t="s">
        <v>52</v>
      </c>
      <c r="AD31" s="8" t="s">
        <v>52</v>
      </c>
      <c r="AE31" s="8" t="s">
        <v>52</v>
      </c>
    </row>
    <row r="32" spans="1:31" x14ac:dyDescent="0.3">
      <c r="A32" s="5" t="s">
        <v>179</v>
      </c>
      <c r="B32" s="8">
        <v>0.38924274593064401</v>
      </c>
      <c r="C32" s="8">
        <v>7.8642906286681553</v>
      </c>
      <c r="D32" s="8">
        <v>3.575742276715952E-2</v>
      </c>
      <c r="E32" s="8">
        <v>0.57208237986270016</v>
      </c>
      <c r="F32" s="8">
        <v>0.66030814380044023</v>
      </c>
      <c r="G32" s="8" t="s">
        <v>52</v>
      </c>
      <c r="H32" s="8">
        <v>5.927601345806663E-3</v>
      </c>
      <c r="I32" s="8" t="s">
        <v>52</v>
      </c>
      <c r="J32" s="8" t="s">
        <v>52</v>
      </c>
      <c r="K32" s="8" t="s">
        <v>52</v>
      </c>
      <c r="L32" s="8" t="s">
        <v>52</v>
      </c>
      <c r="M32" s="8" t="s">
        <v>52</v>
      </c>
      <c r="N32" s="8" t="s">
        <v>52</v>
      </c>
      <c r="O32" s="8" t="s">
        <v>52</v>
      </c>
      <c r="P32" s="8" t="s">
        <v>52</v>
      </c>
      <c r="Q32" s="8">
        <v>0</v>
      </c>
      <c r="R32" s="8">
        <v>0</v>
      </c>
      <c r="S32" s="8">
        <v>0</v>
      </c>
      <c r="T32" s="8" t="s">
        <v>52</v>
      </c>
      <c r="U32" s="8" t="s">
        <v>52</v>
      </c>
      <c r="V32" s="8" t="s">
        <v>52</v>
      </c>
      <c r="W32" s="8" t="s">
        <v>52</v>
      </c>
      <c r="X32" s="8" t="s">
        <v>52</v>
      </c>
      <c r="Y32" s="8" t="s">
        <v>52</v>
      </c>
      <c r="Z32" s="8" t="s">
        <v>52</v>
      </c>
      <c r="AA32" s="8" t="s">
        <v>52</v>
      </c>
      <c r="AB32" s="8" t="s">
        <v>52</v>
      </c>
      <c r="AC32" s="8" t="s">
        <v>52</v>
      </c>
      <c r="AD32" s="8" t="s">
        <v>52</v>
      </c>
      <c r="AE32" s="8" t="s">
        <v>52</v>
      </c>
    </row>
    <row r="33" spans="1:31" x14ac:dyDescent="0.3">
      <c r="A33" s="5" t="s">
        <v>180</v>
      </c>
      <c r="B33" s="8">
        <v>0.42129452317119881</v>
      </c>
      <c r="C33" s="8">
        <v>8.5089899106665658</v>
      </c>
      <c r="D33" s="8">
        <v>0</v>
      </c>
      <c r="E33" s="8">
        <v>0.62827225130890063</v>
      </c>
      <c r="F33" s="8">
        <v>0.1799208348326736</v>
      </c>
      <c r="G33" s="8" t="s">
        <v>52</v>
      </c>
      <c r="H33" s="8">
        <v>0</v>
      </c>
      <c r="I33" s="8" t="s">
        <v>52</v>
      </c>
      <c r="J33" s="8" t="s">
        <v>52</v>
      </c>
      <c r="K33" s="8" t="s">
        <v>52</v>
      </c>
      <c r="L33" s="8" t="s">
        <v>52</v>
      </c>
      <c r="M33" s="8" t="s">
        <v>52</v>
      </c>
      <c r="N33" s="8" t="s">
        <v>52</v>
      </c>
      <c r="O33" s="8" t="s">
        <v>52</v>
      </c>
      <c r="P33" s="8" t="s">
        <v>52</v>
      </c>
      <c r="Q33" s="8">
        <v>0</v>
      </c>
      <c r="R33" s="8">
        <v>0</v>
      </c>
      <c r="S33" s="8">
        <v>0</v>
      </c>
      <c r="T33" s="8" t="s">
        <v>52</v>
      </c>
      <c r="U33" s="8" t="s">
        <v>52</v>
      </c>
      <c r="V33" s="8" t="s">
        <v>52</v>
      </c>
      <c r="W33" s="8" t="s">
        <v>52</v>
      </c>
      <c r="X33" s="8" t="s">
        <v>52</v>
      </c>
      <c r="Y33" s="8" t="s">
        <v>52</v>
      </c>
      <c r="Z33" s="8" t="s">
        <v>52</v>
      </c>
      <c r="AA33" s="8" t="s">
        <v>52</v>
      </c>
      <c r="AB33" s="8" t="s">
        <v>52</v>
      </c>
      <c r="AC33" s="8" t="s">
        <v>52</v>
      </c>
      <c r="AD33" s="8" t="s">
        <v>52</v>
      </c>
      <c r="AE33" s="8" t="s">
        <v>52</v>
      </c>
    </row>
    <row r="34" spans="1:31" x14ac:dyDescent="0.3">
      <c r="A34" s="5" t="s">
        <v>181</v>
      </c>
      <c r="B34" s="8">
        <v>0.30591434398368461</v>
      </c>
      <c r="C34" s="8">
        <v>8.307713239236266</v>
      </c>
      <c r="D34" s="8">
        <v>0</v>
      </c>
      <c r="E34" s="8">
        <v>0.30441400304414001</v>
      </c>
      <c r="F34" s="8">
        <v>0.6280014776505356</v>
      </c>
      <c r="G34" s="8" t="s">
        <v>52</v>
      </c>
      <c r="H34" s="8">
        <v>1.1439029970258519E-2</v>
      </c>
      <c r="I34" s="8" t="s">
        <v>52</v>
      </c>
      <c r="J34" s="8" t="s">
        <v>52</v>
      </c>
      <c r="K34" s="8" t="s">
        <v>52</v>
      </c>
      <c r="L34" s="8" t="s">
        <v>52</v>
      </c>
      <c r="M34" s="8" t="s">
        <v>52</v>
      </c>
      <c r="N34" s="8" t="s">
        <v>52</v>
      </c>
      <c r="O34" s="8" t="s">
        <v>52</v>
      </c>
      <c r="P34" s="8" t="s">
        <v>52</v>
      </c>
      <c r="Q34" s="8">
        <v>0</v>
      </c>
      <c r="R34" s="8">
        <v>0</v>
      </c>
      <c r="S34" s="8">
        <v>0</v>
      </c>
      <c r="T34" s="8" t="s">
        <v>52</v>
      </c>
      <c r="U34" s="8" t="s">
        <v>52</v>
      </c>
      <c r="V34" s="8" t="s">
        <v>52</v>
      </c>
      <c r="W34" s="8" t="s">
        <v>52</v>
      </c>
      <c r="X34" s="8" t="s">
        <v>52</v>
      </c>
      <c r="Y34" s="8" t="s">
        <v>52</v>
      </c>
      <c r="Z34" s="8" t="s">
        <v>52</v>
      </c>
      <c r="AA34" s="8" t="s">
        <v>52</v>
      </c>
      <c r="AB34" s="8" t="s">
        <v>52</v>
      </c>
      <c r="AC34" s="8" t="s">
        <v>52</v>
      </c>
      <c r="AD34" s="8" t="s">
        <v>52</v>
      </c>
      <c r="AE34" s="8" t="s">
        <v>52</v>
      </c>
    </row>
    <row r="35" spans="1:31" x14ac:dyDescent="0.3">
      <c r="A35" s="5" t="s">
        <v>182</v>
      </c>
      <c r="B35" s="8">
        <v>0.57265569076592704</v>
      </c>
      <c r="C35" s="8">
        <v>8.152262451831513</v>
      </c>
      <c r="D35" s="8">
        <v>0</v>
      </c>
      <c r="E35" s="8">
        <v>0.29706646862235431</v>
      </c>
      <c r="F35" s="8">
        <v>0.61661225970257527</v>
      </c>
      <c r="G35" s="8" t="s">
        <v>52</v>
      </c>
      <c r="H35" s="8">
        <v>0</v>
      </c>
      <c r="I35" s="8" t="s">
        <v>52</v>
      </c>
      <c r="J35" s="8" t="s">
        <v>52</v>
      </c>
      <c r="K35" s="8" t="s">
        <v>52</v>
      </c>
      <c r="L35" s="8" t="s">
        <v>52</v>
      </c>
      <c r="M35" s="8" t="s">
        <v>52</v>
      </c>
      <c r="N35" s="8" t="s">
        <v>52</v>
      </c>
      <c r="O35" s="8" t="s">
        <v>52</v>
      </c>
      <c r="P35" s="8" t="s">
        <v>52</v>
      </c>
      <c r="Q35" s="8">
        <v>0</v>
      </c>
      <c r="R35" s="8">
        <v>0</v>
      </c>
      <c r="S35" s="8">
        <v>0</v>
      </c>
      <c r="T35" s="8" t="s">
        <v>52</v>
      </c>
      <c r="U35" s="8" t="s">
        <v>52</v>
      </c>
      <c r="V35" s="8" t="s">
        <v>52</v>
      </c>
      <c r="W35" s="8" t="s">
        <v>52</v>
      </c>
      <c r="X35" s="8" t="s">
        <v>52</v>
      </c>
      <c r="Y35" s="8" t="s">
        <v>52</v>
      </c>
      <c r="Z35" s="8" t="s">
        <v>52</v>
      </c>
      <c r="AA35" s="8" t="s">
        <v>52</v>
      </c>
      <c r="AB35" s="8" t="s">
        <v>52</v>
      </c>
      <c r="AC35" s="8" t="s">
        <v>52</v>
      </c>
      <c r="AD35" s="8" t="s">
        <v>52</v>
      </c>
      <c r="AE35" s="8" t="s">
        <v>52</v>
      </c>
    </row>
    <row r="36" spans="1:31" x14ac:dyDescent="0.3">
      <c r="A36" s="5" t="s">
        <v>183</v>
      </c>
      <c r="B36" s="8">
        <v>0.62753783684016251</v>
      </c>
      <c r="C36" s="8">
        <v>8.5999740310328292</v>
      </c>
      <c r="D36" s="8">
        <v>0</v>
      </c>
      <c r="E36" s="8">
        <v>0.29433406916850618</v>
      </c>
      <c r="F36" s="8">
        <v>0.84808259587020662</v>
      </c>
      <c r="G36" s="8" t="s">
        <v>52</v>
      </c>
      <c r="H36" s="8">
        <v>3.572704537334763E-2</v>
      </c>
      <c r="I36" s="8" t="s">
        <v>52</v>
      </c>
      <c r="J36" s="8" t="s">
        <v>52</v>
      </c>
      <c r="K36" s="8" t="s">
        <v>52</v>
      </c>
      <c r="L36" s="8" t="s">
        <v>52</v>
      </c>
      <c r="M36" s="8" t="s">
        <v>52</v>
      </c>
      <c r="N36" s="8" t="s">
        <v>52</v>
      </c>
      <c r="O36" s="8" t="s">
        <v>52</v>
      </c>
      <c r="P36" s="8" t="s">
        <v>52</v>
      </c>
      <c r="Q36" s="8">
        <v>0</v>
      </c>
      <c r="R36" s="8">
        <v>0</v>
      </c>
      <c r="S36" s="8">
        <v>0</v>
      </c>
      <c r="T36" s="8" t="s">
        <v>52</v>
      </c>
      <c r="U36" s="8" t="s">
        <v>52</v>
      </c>
      <c r="V36" s="8" t="s">
        <v>52</v>
      </c>
      <c r="W36" s="8" t="s">
        <v>52</v>
      </c>
      <c r="X36" s="8" t="s">
        <v>52</v>
      </c>
      <c r="Y36" s="8" t="s">
        <v>52</v>
      </c>
      <c r="Z36" s="8" t="s">
        <v>52</v>
      </c>
      <c r="AA36" s="8" t="s">
        <v>52</v>
      </c>
      <c r="AB36" s="8" t="s">
        <v>52</v>
      </c>
      <c r="AC36" s="8" t="s">
        <v>52</v>
      </c>
      <c r="AD36" s="8" t="s">
        <v>52</v>
      </c>
      <c r="AE36" s="8" t="s">
        <v>52</v>
      </c>
    </row>
    <row r="37" spans="1:31" x14ac:dyDescent="0.3">
      <c r="A37" s="5" t="s">
        <v>184</v>
      </c>
      <c r="B37" s="8">
        <v>0.3007518796992481</v>
      </c>
      <c r="C37" s="8">
        <v>8.5402178053194095</v>
      </c>
      <c r="D37" s="8">
        <v>6.8493150684931503E-2</v>
      </c>
      <c r="E37" s="8">
        <v>0.72051573758058396</v>
      </c>
      <c r="F37" s="8">
        <v>0.90266875981161698</v>
      </c>
      <c r="G37" s="8" t="s">
        <v>52</v>
      </c>
      <c r="H37" s="8">
        <v>3.1257814453613399E-2</v>
      </c>
      <c r="I37" s="8" t="s">
        <v>52</v>
      </c>
      <c r="J37" s="8" t="s">
        <v>52</v>
      </c>
      <c r="K37" s="8" t="s">
        <v>52</v>
      </c>
      <c r="L37" s="8" t="s">
        <v>52</v>
      </c>
      <c r="M37" s="8" t="s">
        <v>52</v>
      </c>
      <c r="N37" s="8" t="s">
        <v>52</v>
      </c>
      <c r="O37" s="8" t="s">
        <v>52</v>
      </c>
      <c r="P37" s="8" t="s">
        <v>52</v>
      </c>
      <c r="Q37" s="8">
        <v>0</v>
      </c>
      <c r="R37" s="8">
        <v>0</v>
      </c>
      <c r="S37" s="8">
        <v>0</v>
      </c>
      <c r="T37" s="8" t="s">
        <v>52</v>
      </c>
      <c r="U37" s="8" t="s">
        <v>52</v>
      </c>
      <c r="V37" s="8" t="s">
        <v>52</v>
      </c>
      <c r="W37" s="8" t="s">
        <v>52</v>
      </c>
      <c r="X37" s="8" t="s">
        <v>52</v>
      </c>
      <c r="Y37" s="8" t="s">
        <v>52</v>
      </c>
      <c r="Z37" s="8" t="s">
        <v>52</v>
      </c>
      <c r="AA37" s="8" t="s">
        <v>52</v>
      </c>
      <c r="AB37" s="8" t="s">
        <v>52</v>
      </c>
      <c r="AC37" s="8" t="s">
        <v>52</v>
      </c>
      <c r="AD37" s="8" t="s">
        <v>52</v>
      </c>
      <c r="AE37" s="8" t="s">
        <v>52</v>
      </c>
    </row>
    <row r="38" spans="1:31" x14ac:dyDescent="0.3">
      <c r="A38" s="5" t="s">
        <v>185</v>
      </c>
      <c r="B38" s="8">
        <v>0.18968133535660089</v>
      </c>
      <c r="C38" s="8">
        <v>8.4657636949612662</v>
      </c>
      <c r="D38" s="8">
        <v>6.9808027923211169E-2</v>
      </c>
      <c r="E38" s="8">
        <v>1.3387876534027521</v>
      </c>
      <c r="F38" s="8">
        <v>0.4854368932038835</v>
      </c>
      <c r="G38" s="8" t="s">
        <v>52</v>
      </c>
      <c r="H38" s="8">
        <v>7.5159714393085303E-2</v>
      </c>
      <c r="I38" s="8" t="s">
        <v>52</v>
      </c>
      <c r="J38" s="8" t="s">
        <v>52</v>
      </c>
      <c r="K38" s="8" t="s">
        <v>52</v>
      </c>
      <c r="L38" s="8" t="s">
        <v>52</v>
      </c>
      <c r="M38" s="8" t="s">
        <v>52</v>
      </c>
      <c r="N38" s="8" t="s">
        <v>52</v>
      </c>
      <c r="O38" s="8" t="s">
        <v>52</v>
      </c>
      <c r="P38" s="8" t="s">
        <v>52</v>
      </c>
      <c r="Q38" s="8">
        <v>0</v>
      </c>
      <c r="R38" s="8">
        <v>0</v>
      </c>
      <c r="S38" s="8">
        <v>0</v>
      </c>
      <c r="T38" s="8" t="s">
        <v>52</v>
      </c>
      <c r="U38" s="8" t="s">
        <v>52</v>
      </c>
      <c r="V38" s="8" t="s">
        <v>52</v>
      </c>
      <c r="W38" s="8" t="s">
        <v>52</v>
      </c>
      <c r="X38" s="8" t="s">
        <v>52</v>
      </c>
      <c r="Y38" s="8" t="s">
        <v>52</v>
      </c>
      <c r="Z38" s="8" t="s">
        <v>52</v>
      </c>
      <c r="AA38" s="8" t="s">
        <v>52</v>
      </c>
      <c r="AB38" s="8" t="s">
        <v>52</v>
      </c>
      <c r="AC38" s="8" t="s">
        <v>52</v>
      </c>
      <c r="AD38" s="8" t="s">
        <v>52</v>
      </c>
      <c r="AE38" s="8" t="s">
        <v>52</v>
      </c>
    </row>
    <row r="39" spans="1:31" x14ac:dyDescent="0.3">
      <c r="A39" s="5" t="s">
        <v>186</v>
      </c>
      <c r="B39" s="8">
        <v>0.10940919037199121</v>
      </c>
      <c r="C39" s="8">
        <v>8.7510351313930688</v>
      </c>
      <c r="D39" s="8">
        <v>0.14301036825169819</v>
      </c>
      <c r="E39" s="8">
        <v>0.54221533694810231</v>
      </c>
      <c r="F39" s="8">
        <v>1.592002961865975</v>
      </c>
      <c r="G39" s="8" t="s">
        <v>52</v>
      </c>
      <c r="H39" s="8">
        <v>0.15220700152207001</v>
      </c>
      <c r="I39" s="8" t="s">
        <v>52</v>
      </c>
      <c r="J39" s="8" t="s">
        <v>52</v>
      </c>
      <c r="K39" s="8" t="s">
        <v>52</v>
      </c>
      <c r="L39" s="8" t="s">
        <v>52</v>
      </c>
      <c r="M39" s="8" t="s">
        <v>52</v>
      </c>
      <c r="N39" s="8" t="s">
        <v>52</v>
      </c>
      <c r="O39" s="8" t="s">
        <v>52</v>
      </c>
      <c r="P39" s="8" t="s">
        <v>52</v>
      </c>
      <c r="Q39" s="8">
        <v>0</v>
      </c>
      <c r="R39" s="8">
        <v>0</v>
      </c>
      <c r="S39" s="8">
        <v>0</v>
      </c>
      <c r="T39" s="8" t="s">
        <v>52</v>
      </c>
      <c r="U39" s="8" t="s">
        <v>52</v>
      </c>
      <c r="V39" s="8" t="s">
        <v>52</v>
      </c>
      <c r="W39" s="8" t="s">
        <v>52</v>
      </c>
      <c r="X39" s="8" t="s">
        <v>52</v>
      </c>
      <c r="Y39" s="8" t="s">
        <v>52</v>
      </c>
      <c r="Z39" s="8" t="s">
        <v>52</v>
      </c>
      <c r="AA39" s="8" t="s">
        <v>52</v>
      </c>
      <c r="AB39" s="8" t="s">
        <v>52</v>
      </c>
      <c r="AC39" s="8" t="s">
        <v>52</v>
      </c>
      <c r="AD39" s="8" t="s">
        <v>52</v>
      </c>
      <c r="AE39" s="8" t="s">
        <v>52</v>
      </c>
    </row>
    <row r="40" spans="1:31" x14ac:dyDescent="0.3">
      <c r="A40" s="5" t="s">
        <v>187</v>
      </c>
      <c r="B40" s="8">
        <v>0</v>
      </c>
      <c r="C40" s="8">
        <v>7.4069799959172302</v>
      </c>
      <c r="D40" s="8">
        <v>0</v>
      </c>
      <c r="E40" s="8">
        <v>0</v>
      </c>
      <c r="F40" s="8">
        <v>0</v>
      </c>
      <c r="G40" s="8" t="s">
        <v>52</v>
      </c>
      <c r="H40" s="8">
        <v>0</v>
      </c>
      <c r="I40" s="8" t="s">
        <v>52</v>
      </c>
      <c r="J40" s="8" t="s">
        <v>52</v>
      </c>
      <c r="K40" s="8" t="s">
        <v>52</v>
      </c>
      <c r="L40" s="8" t="s">
        <v>52</v>
      </c>
      <c r="M40" s="8" t="s">
        <v>52</v>
      </c>
      <c r="N40" s="8" t="s">
        <v>52</v>
      </c>
      <c r="O40" s="8" t="s">
        <v>52</v>
      </c>
      <c r="P40" s="8" t="s">
        <v>52</v>
      </c>
      <c r="Q40" s="8">
        <v>0</v>
      </c>
      <c r="R40" s="8">
        <v>0</v>
      </c>
      <c r="S40" s="8">
        <v>0</v>
      </c>
      <c r="T40" s="8" t="s">
        <v>52</v>
      </c>
      <c r="U40" s="8" t="s">
        <v>52</v>
      </c>
      <c r="V40" s="8" t="s">
        <v>52</v>
      </c>
      <c r="W40" s="8" t="s">
        <v>52</v>
      </c>
      <c r="X40" s="8" t="s">
        <v>52</v>
      </c>
      <c r="Y40" s="8" t="s">
        <v>52</v>
      </c>
      <c r="Z40" s="8" t="s">
        <v>52</v>
      </c>
      <c r="AA40" s="8" t="s">
        <v>52</v>
      </c>
      <c r="AB40" s="8" t="s">
        <v>52</v>
      </c>
      <c r="AC40" s="8" t="s">
        <v>52</v>
      </c>
      <c r="AD40" s="8" t="s">
        <v>52</v>
      </c>
      <c r="AE40" s="8" t="s">
        <v>52</v>
      </c>
    </row>
    <row r="41" spans="1:31" x14ac:dyDescent="0.3">
      <c r="A41" s="5" t="s">
        <v>188</v>
      </c>
      <c r="B41" s="8">
        <v>0.62939651980747879</v>
      </c>
      <c r="C41" s="8">
        <v>7.8626261125127392</v>
      </c>
      <c r="D41" s="8">
        <v>0</v>
      </c>
      <c r="E41" s="8">
        <v>0.21629416005767849</v>
      </c>
      <c r="F41" s="8">
        <v>0.32028469750889682</v>
      </c>
      <c r="G41" s="8" t="s">
        <v>52</v>
      </c>
      <c r="H41" s="8">
        <v>0</v>
      </c>
      <c r="I41" s="8" t="s">
        <v>52</v>
      </c>
      <c r="J41" s="8" t="s">
        <v>52</v>
      </c>
      <c r="K41" s="8" t="s">
        <v>52</v>
      </c>
      <c r="L41" s="8" t="s">
        <v>52</v>
      </c>
      <c r="M41" s="8" t="s">
        <v>52</v>
      </c>
      <c r="N41" s="8" t="s">
        <v>52</v>
      </c>
      <c r="O41" s="8" t="s">
        <v>52</v>
      </c>
      <c r="P41" s="8" t="s">
        <v>52</v>
      </c>
      <c r="Q41" s="8">
        <v>0</v>
      </c>
      <c r="R41" s="8">
        <v>0</v>
      </c>
      <c r="S41" s="8">
        <v>0</v>
      </c>
      <c r="T41" s="8" t="s">
        <v>52</v>
      </c>
      <c r="U41" s="8" t="s">
        <v>52</v>
      </c>
      <c r="V41" s="8" t="s">
        <v>52</v>
      </c>
      <c r="W41" s="8" t="s">
        <v>52</v>
      </c>
      <c r="X41" s="8" t="s">
        <v>52</v>
      </c>
      <c r="Y41" s="8" t="s">
        <v>52</v>
      </c>
      <c r="Z41" s="8" t="s">
        <v>52</v>
      </c>
      <c r="AA41" s="8" t="s">
        <v>52</v>
      </c>
      <c r="AB41" s="8" t="s">
        <v>52</v>
      </c>
      <c r="AC41" s="8" t="s">
        <v>52</v>
      </c>
      <c r="AD41" s="8" t="s">
        <v>52</v>
      </c>
      <c r="AE41" s="8" t="s">
        <v>52</v>
      </c>
    </row>
    <row r="42" spans="1:31" x14ac:dyDescent="0.3">
      <c r="A42" s="5" t="s">
        <v>189</v>
      </c>
      <c r="B42" s="8">
        <v>0.37864445285876558</v>
      </c>
      <c r="C42" s="8">
        <v>8.3560862423747455</v>
      </c>
      <c r="D42" s="8">
        <v>0</v>
      </c>
      <c r="E42" s="8">
        <v>0.44994375703037121</v>
      </c>
      <c r="F42" s="8">
        <v>0.2583979328165375</v>
      </c>
      <c r="G42" s="8" t="s">
        <v>52</v>
      </c>
      <c r="H42" s="8">
        <v>0</v>
      </c>
      <c r="I42" s="8" t="s">
        <v>52</v>
      </c>
      <c r="J42" s="8" t="s">
        <v>52</v>
      </c>
      <c r="K42" s="8" t="s">
        <v>52</v>
      </c>
      <c r="L42" s="8" t="s">
        <v>52</v>
      </c>
      <c r="M42" s="8" t="s">
        <v>52</v>
      </c>
      <c r="N42" s="8" t="s">
        <v>52</v>
      </c>
      <c r="O42" s="8" t="s">
        <v>52</v>
      </c>
      <c r="P42" s="8" t="s">
        <v>52</v>
      </c>
      <c r="Q42" s="8">
        <v>0</v>
      </c>
      <c r="R42" s="8">
        <v>0</v>
      </c>
      <c r="S42" s="8">
        <v>0</v>
      </c>
      <c r="T42" s="8" t="s">
        <v>52</v>
      </c>
      <c r="U42" s="8" t="s">
        <v>52</v>
      </c>
      <c r="V42" s="8" t="s">
        <v>52</v>
      </c>
      <c r="W42" s="8" t="s">
        <v>52</v>
      </c>
      <c r="X42" s="8" t="s">
        <v>52</v>
      </c>
      <c r="Y42" s="8" t="s">
        <v>52</v>
      </c>
      <c r="Z42" s="8" t="s">
        <v>52</v>
      </c>
      <c r="AA42" s="8" t="s">
        <v>52</v>
      </c>
      <c r="AB42" s="8" t="s">
        <v>52</v>
      </c>
      <c r="AC42" s="8" t="s">
        <v>52</v>
      </c>
      <c r="AD42" s="8" t="s">
        <v>52</v>
      </c>
      <c r="AE42" s="8" t="s">
        <v>52</v>
      </c>
    </row>
    <row r="43" spans="1:31" x14ac:dyDescent="0.3">
      <c r="A43" s="5" t="s">
        <v>190</v>
      </c>
      <c r="B43" s="8">
        <v>0.17452006980802789</v>
      </c>
      <c r="C43" s="8">
        <v>8.0955021299401704</v>
      </c>
      <c r="D43" s="8">
        <v>0</v>
      </c>
      <c r="E43" s="8">
        <v>0.32327586206896552</v>
      </c>
      <c r="F43" s="8">
        <v>0.76642335766423353</v>
      </c>
      <c r="G43" s="8" t="s">
        <v>52</v>
      </c>
      <c r="H43" s="8">
        <v>0</v>
      </c>
      <c r="I43" s="8" t="s">
        <v>52</v>
      </c>
      <c r="J43" s="8" t="s">
        <v>52</v>
      </c>
      <c r="K43" s="8" t="s">
        <v>52</v>
      </c>
      <c r="L43" s="8" t="s">
        <v>52</v>
      </c>
      <c r="M43" s="8" t="s">
        <v>52</v>
      </c>
      <c r="N43" s="8" t="s">
        <v>52</v>
      </c>
      <c r="O43" s="8" t="s">
        <v>52</v>
      </c>
      <c r="P43" s="8" t="s">
        <v>52</v>
      </c>
      <c r="Q43" s="8">
        <v>0</v>
      </c>
      <c r="R43" s="8">
        <v>0</v>
      </c>
      <c r="S43" s="8">
        <v>0</v>
      </c>
      <c r="T43" s="8" t="s">
        <v>52</v>
      </c>
      <c r="U43" s="8" t="s">
        <v>52</v>
      </c>
      <c r="V43" s="8" t="s">
        <v>52</v>
      </c>
      <c r="W43" s="8" t="s">
        <v>52</v>
      </c>
      <c r="X43" s="8" t="s">
        <v>52</v>
      </c>
      <c r="Y43" s="8" t="s">
        <v>52</v>
      </c>
      <c r="Z43" s="8" t="s">
        <v>52</v>
      </c>
      <c r="AA43" s="8" t="s">
        <v>52</v>
      </c>
      <c r="AB43" s="8" t="s">
        <v>52</v>
      </c>
      <c r="AC43" s="8" t="s">
        <v>52</v>
      </c>
      <c r="AD43" s="8" t="s">
        <v>52</v>
      </c>
      <c r="AE43" s="8" t="s">
        <v>52</v>
      </c>
    </row>
    <row r="44" spans="1:31" x14ac:dyDescent="0.3">
      <c r="A44" s="5" t="s">
        <v>191</v>
      </c>
      <c r="B44" s="8">
        <v>0.30828516377649329</v>
      </c>
      <c r="C44" s="8">
        <v>8.3707761581812381</v>
      </c>
      <c r="D44" s="8">
        <v>0</v>
      </c>
      <c r="E44" s="8">
        <v>0.62066447608616282</v>
      </c>
      <c r="F44" s="8">
        <v>0.69444444444444442</v>
      </c>
      <c r="G44" s="8" t="s">
        <v>52</v>
      </c>
      <c r="H44" s="8">
        <v>0</v>
      </c>
      <c r="I44" s="8" t="s">
        <v>52</v>
      </c>
      <c r="J44" s="8" t="s">
        <v>52</v>
      </c>
      <c r="K44" s="8" t="s">
        <v>52</v>
      </c>
      <c r="L44" s="8" t="s">
        <v>52</v>
      </c>
      <c r="M44" s="8" t="s">
        <v>52</v>
      </c>
      <c r="N44" s="8" t="s">
        <v>52</v>
      </c>
      <c r="O44" s="8" t="s">
        <v>52</v>
      </c>
      <c r="P44" s="8" t="s">
        <v>52</v>
      </c>
      <c r="Q44" s="8">
        <v>0</v>
      </c>
      <c r="R44" s="8">
        <v>0</v>
      </c>
      <c r="S44" s="8">
        <v>0</v>
      </c>
      <c r="T44" s="8" t="s">
        <v>52</v>
      </c>
      <c r="U44" s="8" t="s">
        <v>52</v>
      </c>
      <c r="V44" s="8" t="s">
        <v>52</v>
      </c>
      <c r="W44" s="8" t="s">
        <v>52</v>
      </c>
      <c r="X44" s="8" t="s">
        <v>52</v>
      </c>
      <c r="Y44" s="8" t="s">
        <v>52</v>
      </c>
      <c r="Z44" s="8" t="s">
        <v>52</v>
      </c>
      <c r="AA44" s="8" t="s">
        <v>52</v>
      </c>
      <c r="AB44" s="8" t="s">
        <v>52</v>
      </c>
      <c r="AC44" s="8" t="s">
        <v>52</v>
      </c>
      <c r="AD44" s="8" t="s">
        <v>52</v>
      </c>
      <c r="AE44" s="8" t="s">
        <v>52</v>
      </c>
    </row>
    <row r="45" spans="1:31" x14ac:dyDescent="0.3">
      <c r="A45" s="5" t="s">
        <v>192</v>
      </c>
      <c r="B45" s="8">
        <v>0.6331340133661626</v>
      </c>
      <c r="C45" s="8">
        <v>8.1864776880982166</v>
      </c>
      <c r="D45" s="8">
        <v>0</v>
      </c>
      <c r="E45" s="8">
        <v>0.66396163777203976</v>
      </c>
      <c r="F45" s="8">
        <v>1.0589481115425341</v>
      </c>
      <c r="G45" s="8" t="s">
        <v>52</v>
      </c>
      <c r="H45" s="8">
        <v>0</v>
      </c>
      <c r="I45" s="8" t="s">
        <v>52</v>
      </c>
      <c r="J45" s="8" t="s">
        <v>52</v>
      </c>
      <c r="K45" s="8" t="s">
        <v>52</v>
      </c>
      <c r="L45" s="8" t="s">
        <v>52</v>
      </c>
      <c r="M45" s="8" t="s">
        <v>52</v>
      </c>
      <c r="N45" s="8" t="s">
        <v>52</v>
      </c>
      <c r="O45" s="8" t="s">
        <v>52</v>
      </c>
      <c r="P45" s="8" t="s">
        <v>52</v>
      </c>
      <c r="Q45" s="8">
        <v>0</v>
      </c>
      <c r="R45" s="8">
        <v>0</v>
      </c>
      <c r="S45" s="8">
        <v>0</v>
      </c>
      <c r="T45" s="8" t="s">
        <v>52</v>
      </c>
      <c r="U45" s="8" t="s">
        <v>52</v>
      </c>
      <c r="V45" s="8" t="s">
        <v>52</v>
      </c>
      <c r="W45" s="8" t="s">
        <v>52</v>
      </c>
      <c r="X45" s="8" t="s">
        <v>52</v>
      </c>
      <c r="Y45" s="8" t="s">
        <v>52</v>
      </c>
      <c r="Z45" s="8" t="s">
        <v>52</v>
      </c>
      <c r="AA45" s="8" t="s">
        <v>52</v>
      </c>
      <c r="AB45" s="8" t="s">
        <v>52</v>
      </c>
      <c r="AC45" s="8" t="s">
        <v>52</v>
      </c>
      <c r="AD45" s="8" t="s">
        <v>52</v>
      </c>
      <c r="AE45" s="8" t="s">
        <v>52</v>
      </c>
    </row>
    <row r="46" spans="1:31" x14ac:dyDescent="0.3">
      <c r="A46" s="5" t="s">
        <v>193</v>
      </c>
      <c r="B46" s="8">
        <v>0.42536736272235121</v>
      </c>
      <c r="C46" s="8">
        <v>8.6717936482778484</v>
      </c>
      <c r="D46" s="8">
        <v>3.5050823694356817E-2</v>
      </c>
      <c r="E46" s="8">
        <v>0.84095063985374774</v>
      </c>
      <c r="F46" s="8">
        <v>1.4399393709738539</v>
      </c>
      <c r="G46" s="8" t="s">
        <v>52</v>
      </c>
      <c r="H46" s="8">
        <v>1.828940986257074E-2</v>
      </c>
      <c r="I46" s="8" t="s">
        <v>52</v>
      </c>
      <c r="J46" s="8" t="s">
        <v>52</v>
      </c>
      <c r="K46" s="8" t="s">
        <v>52</v>
      </c>
      <c r="L46" s="8" t="s">
        <v>52</v>
      </c>
      <c r="M46" s="8" t="s">
        <v>52</v>
      </c>
      <c r="N46" s="8" t="s">
        <v>52</v>
      </c>
      <c r="O46" s="8" t="s">
        <v>52</v>
      </c>
      <c r="P46" s="8" t="s">
        <v>52</v>
      </c>
      <c r="Q46" s="8">
        <v>0</v>
      </c>
      <c r="R46" s="8">
        <v>0</v>
      </c>
      <c r="S46" s="8">
        <v>0</v>
      </c>
      <c r="T46" s="8" t="s">
        <v>52</v>
      </c>
      <c r="U46" s="8" t="s">
        <v>52</v>
      </c>
      <c r="V46" s="8" t="s">
        <v>52</v>
      </c>
      <c r="W46" s="8" t="s">
        <v>52</v>
      </c>
      <c r="X46" s="8" t="s">
        <v>52</v>
      </c>
      <c r="Y46" s="8" t="s">
        <v>52</v>
      </c>
      <c r="Z46" s="8" t="s">
        <v>52</v>
      </c>
      <c r="AA46" s="8" t="s">
        <v>52</v>
      </c>
      <c r="AB46" s="8" t="s">
        <v>52</v>
      </c>
      <c r="AC46" s="8" t="s">
        <v>52</v>
      </c>
      <c r="AD46" s="8" t="s">
        <v>52</v>
      </c>
      <c r="AE46" s="8" t="s">
        <v>52</v>
      </c>
    </row>
    <row r="47" spans="1:31" x14ac:dyDescent="0.3">
      <c r="A47" t="s">
        <v>194</v>
      </c>
      <c r="B47">
        <v>0.55741360089186176</v>
      </c>
      <c r="C47">
        <v>8.1265770403979225</v>
      </c>
      <c r="D47">
        <v>0</v>
      </c>
      <c r="E47">
        <v>0.61433447098976102</v>
      </c>
      <c r="F47">
        <v>1.256077795786062</v>
      </c>
      <c r="G47" t="s">
        <v>52</v>
      </c>
      <c r="H47">
        <v>2.4682216463038378E-2</v>
      </c>
      <c r="I47" t="s">
        <v>52</v>
      </c>
      <c r="J47" t="s">
        <v>52</v>
      </c>
      <c r="K47" t="s">
        <v>52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>
        <v>0</v>
      </c>
      <c r="R47">
        <v>0</v>
      </c>
      <c r="S47">
        <v>0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</row>
    <row r="48" spans="1:31" x14ac:dyDescent="0.3">
      <c r="A48" t="s">
        <v>195</v>
      </c>
      <c r="B48">
        <v>0.54367524465386008</v>
      </c>
      <c r="C48">
        <v>8.3392934277625823</v>
      </c>
      <c r="D48">
        <v>0</v>
      </c>
      <c r="E48">
        <v>0.85046066619418847</v>
      </c>
      <c r="F48">
        <v>1.191806331471136</v>
      </c>
      <c r="G48" t="s">
        <v>52</v>
      </c>
      <c r="H48">
        <v>5.6767030937789002E-2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>
        <v>0</v>
      </c>
      <c r="R48">
        <v>0</v>
      </c>
      <c r="S48">
        <v>0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</row>
    <row r="49" spans="1:31" x14ac:dyDescent="0.3">
      <c r="A49" t="s">
        <v>196</v>
      </c>
      <c r="B49">
        <v>0.41888804265041879</v>
      </c>
      <c r="C49">
        <v>8.0749313628838717</v>
      </c>
      <c r="D49">
        <v>7.7519379844961239E-2</v>
      </c>
      <c r="E49">
        <v>0.76558512577469917</v>
      </c>
      <c r="F49">
        <v>1.9103600293901539</v>
      </c>
      <c r="G49" t="s">
        <v>52</v>
      </c>
      <c r="H49">
        <v>6.2375249500998008E-2</v>
      </c>
      <c r="I49" t="s">
        <v>52</v>
      </c>
      <c r="J49" t="s">
        <v>52</v>
      </c>
      <c r="K49" t="s">
        <v>52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>
        <v>0</v>
      </c>
      <c r="R49">
        <v>0</v>
      </c>
      <c r="S49">
        <v>0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</row>
    <row r="50" spans="1:31" x14ac:dyDescent="0.3">
      <c r="A50" t="s">
        <v>197</v>
      </c>
      <c r="B50">
        <v>6.9565217391304349E-2</v>
      </c>
      <c r="C50">
        <v>8.8127182381849831</v>
      </c>
      <c r="D50">
        <v>0.10266940451745379</v>
      </c>
      <c r="E50">
        <v>0.74766355140186913</v>
      </c>
      <c r="F50">
        <v>3.4048348655090219</v>
      </c>
      <c r="G50" t="s">
        <v>52</v>
      </c>
      <c r="H50">
        <v>0.21111491498345311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>
        <v>0</v>
      </c>
      <c r="R50">
        <v>0</v>
      </c>
      <c r="S50">
        <v>0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</row>
    <row r="51" spans="1:31" x14ac:dyDescent="0.3">
      <c r="A51" t="s">
        <v>206</v>
      </c>
      <c r="B51">
        <v>0</v>
      </c>
      <c r="C51">
        <v>7.4323012625180072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52</v>
      </c>
      <c r="J51">
        <v>11.176048518200709</v>
      </c>
      <c r="K51">
        <v>5.6580736659655333</v>
      </c>
      <c r="L51">
        <v>5.4627816033877838</v>
      </c>
      <c r="M51">
        <v>0</v>
      </c>
      <c r="N51" t="s">
        <v>52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</row>
    <row r="52" spans="1:31" x14ac:dyDescent="0.3">
      <c r="A52" t="s">
        <v>207</v>
      </c>
      <c r="B52">
        <v>0.67618332081141996</v>
      </c>
      <c r="C52">
        <v>7.2584265325704989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52</v>
      </c>
      <c r="J52">
        <v>6.1205718738134927</v>
      </c>
      <c r="K52">
        <v>6.0599737080645273</v>
      </c>
      <c r="L52">
        <v>9.594734015833474</v>
      </c>
      <c r="M52">
        <v>0</v>
      </c>
      <c r="N52" t="s">
        <v>52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</row>
    <row r="53" spans="1:31" x14ac:dyDescent="0.3">
      <c r="A53" t="s">
        <v>208</v>
      </c>
      <c r="B53">
        <v>1.0180995475113122</v>
      </c>
      <c r="C53">
        <v>7.1676183367376867</v>
      </c>
      <c r="D53">
        <v>0</v>
      </c>
      <c r="E53">
        <v>7.716049382716049E-2</v>
      </c>
      <c r="F53">
        <v>0</v>
      </c>
      <c r="G53">
        <v>0</v>
      </c>
      <c r="H53">
        <v>0</v>
      </c>
      <c r="I53" t="s">
        <v>52</v>
      </c>
      <c r="J53">
        <v>5.9494550337432397</v>
      </c>
      <c r="K53">
        <v>9.668944767988334</v>
      </c>
      <c r="L53">
        <v>5.8844552084814881</v>
      </c>
      <c r="M53">
        <v>0</v>
      </c>
      <c r="N53" t="s">
        <v>52</v>
      </c>
      <c r="O53">
        <v>7.716049382716049E-2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</row>
    <row r="54" spans="1:31" x14ac:dyDescent="0.3">
      <c r="A54" t="s">
        <v>209</v>
      </c>
      <c r="B54">
        <v>0.53991515618974162</v>
      </c>
      <c r="C54">
        <v>7.5530225335205969</v>
      </c>
      <c r="D54">
        <v>0</v>
      </c>
      <c r="E54">
        <v>0.14471780028943562</v>
      </c>
      <c r="F54">
        <v>0</v>
      </c>
      <c r="G54">
        <v>0</v>
      </c>
      <c r="H54">
        <v>0</v>
      </c>
      <c r="I54" t="s">
        <v>52</v>
      </c>
      <c r="J54">
        <v>6.2738470957628714</v>
      </c>
      <c r="K54">
        <v>6.0842792626482742</v>
      </c>
      <c r="L54">
        <v>10.300941242150648</v>
      </c>
      <c r="M54">
        <v>0</v>
      </c>
      <c r="N54" t="s">
        <v>52</v>
      </c>
      <c r="O54">
        <v>0.14471780028943562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</row>
    <row r="55" spans="1:31" x14ac:dyDescent="0.3">
      <c r="A55" t="s">
        <v>210</v>
      </c>
      <c r="B55">
        <v>1.1741682974559686</v>
      </c>
      <c r="C55">
        <v>7.4265366664294064</v>
      </c>
      <c r="D55">
        <v>0</v>
      </c>
      <c r="E55">
        <v>0.37481259370314846</v>
      </c>
      <c r="F55">
        <v>6.9589422407794019E-2</v>
      </c>
      <c r="G55">
        <v>0</v>
      </c>
      <c r="H55">
        <v>0</v>
      </c>
      <c r="I55" t="s">
        <v>52</v>
      </c>
      <c r="J55">
        <v>6.6565583837131417</v>
      </c>
      <c r="K55">
        <v>6.2074799200404369</v>
      </c>
      <c r="L55">
        <v>9.4155716955346431</v>
      </c>
      <c r="M55">
        <v>0</v>
      </c>
      <c r="N55" t="s">
        <v>52</v>
      </c>
      <c r="O55">
        <v>0.37481259370314846</v>
      </c>
      <c r="P55">
        <v>6.9589422407794019E-2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</row>
    <row r="56" spans="1:31" x14ac:dyDescent="0.3">
      <c r="A56" t="s">
        <v>211</v>
      </c>
      <c r="B56">
        <v>1.6332590942835934</v>
      </c>
      <c r="C56">
        <v>7.7983476841057167</v>
      </c>
      <c r="D56">
        <v>0</v>
      </c>
      <c r="E56">
        <v>0.11890606420927466</v>
      </c>
      <c r="F56">
        <v>0.26070763500931099</v>
      </c>
      <c r="G56">
        <v>0</v>
      </c>
      <c r="H56">
        <v>0</v>
      </c>
      <c r="I56" t="s">
        <v>52</v>
      </c>
      <c r="J56">
        <v>6.6382659709417338</v>
      </c>
      <c r="K56">
        <v>7.0094021038891148</v>
      </c>
      <c r="L56">
        <v>9.7473749774863006</v>
      </c>
      <c r="M56">
        <v>0</v>
      </c>
      <c r="N56" t="s">
        <v>52</v>
      </c>
      <c r="O56">
        <v>0.11890606420927466</v>
      </c>
      <c r="P56">
        <v>0.26070763500931099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</row>
    <row r="57" spans="1:31" x14ac:dyDescent="0.3">
      <c r="A57" t="s">
        <v>212</v>
      </c>
      <c r="B57">
        <v>1.4264264264264264</v>
      </c>
      <c r="C57">
        <v>7.3459077560375041</v>
      </c>
      <c r="D57">
        <v>0</v>
      </c>
      <c r="E57">
        <v>0.41739130434782606</v>
      </c>
      <c r="F57">
        <v>0.21134202183867559</v>
      </c>
      <c r="G57">
        <v>0</v>
      </c>
      <c r="H57">
        <v>0</v>
      </c>
      <c r="I57" t="s">
        <v>52</v>
      </c>
      <c r="J57">
        <v>6.3376606915640288</v>
      </c>
      <c r="K57">
        <v>8.9613180148957881</v>
      </c>
      <c r="L57">
        <v>6.7387445616526955</v>
      </c>
      <c r="M57">
        <v>0</v>
      </c>
      <c r="N57" t="s">
        <v>52</v>
      </c>
      <c r="O57">
        <v>0.41739130434782606</v>
      </c>
      <c r="P57">
        <v>0.21134202183867559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</row>
    <row r="58" spans="1:31" x14ac:dyDescent="0.3">
      <c r="A58" t="s">
        <v>213</v>
      </c>
      <c r="B58">
        <v>1.0992907801418439</v>
      </c>
      <c r="C58">
        <v>7.62086421624051</v>
      </c>
      <c r="D58">
        <v>0</v>
      </c>
      <c r="E58">
        <v>3.7050759540570584E-2</v>
      </c>
      <c r="F58">
        <v>0.56732223903177004</v>
      </c>
      <c r="G58">
        <v>0</v>
      </c>
      <c r="H58">
        <v>0</v>
      </c>
      <c r="I58" t="s">
        <v>52</v>
      </c>
      <c r="J58">
        <v>6.8092814311256475</v>
      </c>
      <c r="K58">
        <v>6.3452961493270967</v>
      </c>
      <c r="L58">
        <v>9.7080150682687858</v>
      </c>
      <c r="M58">
        <v>0</v>
      </c>
      <c r="N58" t="s">
        <v>52</v>
      </c>
      <c r="O58">
        <v>3.7050759540570584E-2</v>
      </c>
      <c r="P58">
        <v>0.56732223903177004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</row>
    <row r="59" spans="1:31" x14ac:dyDescent="0.3">
      <c r="A59" t="s">
        <v>214</v>
      </c>
      <c r="B59">
        <v>1.044776119402985</v>
      </c>
      <c r="C59">
        <v>7.3919468944008058</v>
      </c>
      <c r="D59">
        <v>0</v>
      </c>
      <c r="E59">
        <v>0.55643879173290933</v>
      </c>
      <c r="F59">
        <v>0.76213397513036507</v>
      </c>
      <c r="G59">
        <v>0</v>
      </c>
      <c r="H59">
        <v>0</v>
      </c>
      <c r="I59" t="s">
        <v>52</v>
      </c>
      <c r="J59">
        <v>6.4391384982912889</v>
      </c>
      <c r="K59">
        <v>8.5909132207632144</v>
      </c>
      <c r="L59">
        <v>7.1457889641479113</v>
      </c>
      <c r="M59">
        <v>0</v>
      </c>
      <c r="N59" t="s">
        <v>52</v>
      </c>
      <c r="O59">
        <v>0.55643879173290933</v>
      </c>
      <c r="P59">
        <v>0.76213397513036507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</row>
    <row r="60" spans="1:31" x14ac:dyDescent="0.3">
      <c r="A60" t="s">
        <v>215</v>
      </c>
      <c r="B60">
        <v>0.9233239662786028</v>
      </c>
      <c r="C60">
        <v>7.8663052278602779</v>
      </c>
      <c r="D60">
        <v>0</v>
      </c>
      <c r="E60">
        <v>0.80882352941176472</v>
      </c>
      <c r="F60">
        <v>0.48721071863580995</v>
      </c>
      <c r="G60">
        <v>0</v>
      </c>
      <c r="H60">
        <v>0</v>
      </c>
      <c r="I60" t="s">
        <v>52</v>
      </c>
      <c r="J60">
        <v>9.754515257994834</v>
      </c>
      <c r="K60">
        <v>7.1004375199793879</v>
      </c>
      <c r="L60">
        <v>6.7439629056066126</v>
      </c>
      <c r="M60">
        <v>0</v>
      </c>
      <c r="N60" t="s">
        <v>52</v>
      </c>
      <c r="O60">
        <v>0.80882352941176472</v>
      </c>
      <c r="P60">
        <v>0.48721071863580995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</row>
    <row r="61" spans="1:31" x14ac:dyDescent="0.3">
      <c r="A61" t="s">
        <v>216</v>
      </c>
      <c r="B61">
        <v>1.1219688744118712</v>
      </c>
      <c r="C61">
        <v>7.8850778121039893</v>
      </c>
      <c r="D61">
        <v>0</v>
      </c>
      <c r="E61">
        <v>0.61633281972265019</v>
      </c>
      <c r="F61">
        <v>0.63837776943297042</v>
      </c>
      <c r="G61">
        <v>0</v>
      </c>
      <c r="H61">
        <v>0</v>
      </c>
      <c r="I61" t="s">
        <v>52</v>
      </c>
      <c r="J61">
        <v>6.7327893986487393</v>
      </c>
      <c r="K61">
        <v>9.8080102816541057</v>
      </c>
      <c r="L61">
        <v>7.1144337560091184</v>
      </c>
      <c r="M61">
        <v>0</v>
      </c>
      <c r="N61" t="s">
        <v>52</v>
      </c>
      <c r="O61">
        <v>0.61633281972265019</v>
      </c>
      <c r="P61">
        <v>0.63837776943297042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</row>
    <row r="62" spans="1:31" x14ac:dyDescent="0.3">
      <c r="A62" t="s">
        <v>62</v>
      </c>
      <c r="B62">
        <v>0</v>
      </c>
      <c r="C62">
        <f t="shared" ref="C62:C72" si="0">IFERROR(AVERAGE(J62:L62),"-")</f>
        <v>7.5339928476078413</v>
      </c>
      <c r="D62">
        <f t="shared" ref="D62:D72" si="1">IFERROR(AVERAGE(M62:N62),"-")</f>
        <v>0</v>
      </c>
      <c r="E62">
        <f t="shared" ref="E62:F72" si="2">IFERROR(AVERAGE(O62:O62),"-")</f>
        <v>0</v>
      </c>
      <c r="F62">
        <f t="shared" si="2"/>
        <v>0</v>
      </c>
      <c r="G62">
        <f t="shared" ref="G62:G72" si="3">IFERROR(AVERAGE(Q62:S62),"-")</f>
        <v>0</v>
      </c>
      <c r="H62">
        <f t="shared" ref="H62:H72" si="4">IFERROR(AVERAGE(T62:Y62),"-")</f>
        <v>0</v>
      </c>
      <c r="I62" t="str">
        <f t="shared" ref="I62:I72" si="5">IFERROR(AVERAGE(Z62:AE62),"-")</f>
        <v>-</v>
      </c>
      <c r="J62">
        <v>6.3557222349913491</v>
      </c>
      <c r="K62">
        <v>10.271433724482907</v>
      </c>
      <c r="L62">
        <v>5.9748225833492645</v>
      </c>
      <c r="M62">
        <v>0</v>
      </c>
      <c r="N62" t="s">
        <v>52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</row>
    <row r="63" spans="1:31" x14ac:dyDescent="0.3">
      <c r="A63" t="s">
        <v>68</v>
      </c>
      <c r="B63">
        <v>0</v>
      </c>
      <c r="C63">
        <f t="shared" si="0"/>
        <v>7.1824516903885707</v>
      </c>
      <c r="D63">
        <f t="shared" si="1"/>
        <v>0</v>
      </c>
      <c r="E63">
        <f t="shared" si="2"/>
        <v>0</v>
      </c>
      <c r="F63">
        <f t="shared" si="2"/>
        <v>0</v>
      </c>
      <c r="G63">
        <f t="shared" si="3"/>
        <v>0</v>
      </c>
      <c r="H63">
        <f t="shared" si="4"/>
        <v>0</v>
      </c>
      <c r="I63" t="str">
        <f t="shared" si="5"/>
        <v>-</v>
      </c>
      <c r="J63">
        <v>6.4702568305864139</v>
      </c>
      <c r="K63">
        <v>9.3704110822247824</v>
      </c>
      <c r="L63">
        <v>5.7066871583545167</v>
      </c>
      <c r="M63">
        <v>0</v>
      </c>
      <c r="N63" t="s">
        <v>52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</row>
    <row r="64" spans="1:31" x14ac:dyDescent="0.3">
      <c r="A64" t="s">
        <v>69</v>
      </c>
      <c r="B64">
        <v>0</v>
      </c>
      <c r="C64">
        <f t="shared" si="0"/>
        <v>7.8148218739184898</v>
      </c>
      <c r="D64">
        <f t="shared" si="1"/>
        <v>0</v>
      </c>
      <c r="E64">
        <f t="shared" si="2"/>
        <v>0</v>
      </c>
      <c r="F64">
        <f t="shared" si="2"/>
        <v>0</v>
      </c>
      <c r="G64">
        <f t="shared" si="3"/>
        <v>0</v>
      </c>
      <c r="H64">
        <f t="shared" si="4"/>
        <v>0</v>
      </c>
      <c r="I64" t="str">
        <f t="shared" si="5"/>
        <v>-</v>
      </c>
      <c r="J64">
        <v>6.7712287251278394</v>
      </c>
      <c r="K64">
        <v>5.999212379381416</v>
      </c>
      <c r="L64">
        <v>10.674024517246213</v>
      </c>
      <c r="M64">
        <v>0</v>
      </c>
      <c r="N64" t="s">
        <v>52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</row>
    <row r="65" spans="1:31" x14ac:dyDescent="0.3">
      <c r="A65" t="s">
        <v>70</v>
      </c>
      <c r="B65">
        <v>0</v>
      </c>
      <c r="C65">
        <f t="shared" si="0"/>
        <v>7.5007520967341206</v>
      </c>
      <c r="D65">
        <f t="shared" si="1"/>
        <v>0</v>
      </c>
      <c r="E65">
        <f t="shared" si="2"/>
        <v>0</v>
      </c>
      <c r="F65">
        <f t="shared" si="2"/>
        <v>0</v>
      </c>
      <c r="G65">
        <f t="shared" si="3"/>
        <v>0</v>
      </c>
      <c r="H65">
        <f t="shared" si="4"/>
        <v>0</v>
      </c>
      <c r="I65" t="str">
        <f t="shared" si="5"/>
        <v>-</v>
      </c>
      <c r="J65">
        <v>6.6331227207716834</v>
      </c>
      <c r="K65">
        <v>6.1860900307611848</v>
      </c>
      <c r="L65">
        <v>9.6830435386694926</v>
      </c>
      <c r="M65">
        <v>0</v>
      </c>
      <c r="N65" t="s">
        <v>52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</row>
    <row r="66" spans="1:31" x14ac:dyDescent="0.3">
      <c r="A66" t="s">
        <v>71</v>
      </c>
      <c r="B66">
        <v>0</v>
      </c>
      <c r="C66">
        <f t="shared" si="0"/>
        <v>7.5673945520037362</v>
      </c>
      <c r="D66">
        <f t="shared" si="1"/>
        <v>0</v>
      </c>
      <c r="E66">
        <f t="shared" si="2"/>
        <v>0</v>
      </c>
      <c r="F66">
        <f t="shared" si="2"/>
        <v>0</v>
      </c>
      <c r="G66">
        <f t="shared" si="3"/>
        <v>0</v>
      </c>
      <c r="H66">
        <f t="shared" si="4"/>
        <v>0</v>
      </c>
      <c r="I66" t="str">
        <f t="shared" si="5"/>
        <v>-</v>
      </c>
      <c r="J66">
        <v>6.8533255711032721</v>
      </c>
      <c r="K66">
        <v>6.2597721510028848</v>
      </c>
      <c r="L66">
        <v>9.5890859339050483</v>
      </c>
      <c r="M66">
        <v>0</v>
      </c>
      <c r="N66" t="s">
        <v>52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</row>
    <row r="67" spans="1:31" x14ac:dyDescent="0.3">
      <c r="A67" t="s">
        <v>72</v>
      </c>
      <c r="B67">
        <v>0</v>
      </c>
      <c r="C67">
        <f t="shared" si="0"/>
        <v>7.5200966179535982</v>
      </c>
      <c r="D67">
        <f t="shared" si="1"/>
        <v>0</v>
      </c>
      <c r="E67">
        <f t="shared" si="2"/>
        <v>0</v>
      </c>
      <c r="F67">
        <f t="shared" si="2"/>
        <v>0</v>
      </c>
      <c r="G67">
        <f t="shared" si="3"/>
        <v>0</v>
      </c>
      <c r="H67">
        <f t="shared" si="4"/>
        <v>0</v>
      </c>
      <c r="I67" t="str">
        <f t="shared" si="5"/>
        <v>-</v>
      </c>
      <c r="J67">
        <v>5.9649963259473626</v>
      </c>
      <c r="K67">
        <v>6.6585640627373994</v>
      </c>
      <c r="L67">
        <v>9.9367294651760325</v>
      </c>
      <c r="M67">
        <v>0</v>
      </c>
      <c r="N67" t="s">
        <v>52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</row>
    <row r="68" spans="1:31" x14ac:dyDescent="0.3">
      <c r="A68" t="s">
        <v>73</v>
      </c>
      <c r="B68">
        <v>0</v>
      </c>
      <c r="C68">
        <f t="shared" si="0"/>
        <v>7.1831332271970965</v>
      </c>
      <c r="D68">
        <f t="shared" si="1"/>
        <v>0</v>
      </c>
      <c r="E68">
        <f t="shared" si="2"/>
        <v>0</v>
      </c>
      <c r="F68">
        <f t="shared" si="2"/>
        <v>0</v>
      </c>
      <c r="G68">
        <f t="shared" si="3"/>
        <v>0</v>
      </c>
      <c r="H68">
        <f t="shared" si="4"/>
        <v>0</v>
      </c>
      <c r="I68" t="str">
        <f t="shared" si="5"/>
        <v>-</v>
      </c>
      <c r="J68">
        <v>5.7774708870130898</v>
      </c>
      <c r="K68">
        <v>6.4032522890536026</v>
      </c>
      <c r="L68">
        <v>9.3686765055245971</v>
      </c>
      <c r="M68">
        <v>0</v>
      </c>
      <c r="N68" t="s">
        <v>52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52</v>
      </c>
      <c r="AA68" t="s">
        <v>52</v>
      </c>
      <c r="AB68" t="s">
        <v>52</v>
      </c>
      <c r="AC68" t="s">
        <v>52</v>
      </c>
      <c r="AD68" t="s">
        <v>52</v>
      </c>
      <c r="AE68" t="s">
        <v>52</v>
      </c>
    </row>
    <row r="69" spans="1:31" x14ac:dyDescent="0.3">
      <c r="A69" t="s">
        <v>74</v>
      </c>
      <c r="B69">
        <v>0</v>
      </c>
      <c r="C69">
        <f t="shared" si="0"/>
        <v>7.6708812580581922</v>
      </c>
      <c r="D69">
        <f t="shared" si="1"/>
        <v>0</v>
      </c>
      <c r="E69">
        <f t="shared" si="2"/>
        <v>0</v>
      </c>
      <c r="F69">
        <f t="shared" si="2"/>
        <v>0</v>
      </c>
      <c r="G69">
        <f t="shared" si="3"/>
        <v>0</v>
      </c>
      <c r="H69">
        <f t="shared" si="4"/>
        <v>0</v>
      </c>
      <c r="I69" t="str">
        <f t="shared" si="5"/>
        <v>-</v>
      </c>
      <c r="J69">
        <v>6.5415560800775925</v>
      </c>
      <c r="K69">
        <v>10.453330117458986</v>
      </c>
      <c r="L69">
        <v>6.0177575766379992</v>
      </c>
      <c r="M69">
        <v>0</v>
      </c>
      <c r="N69" t="s">
        <v>52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52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</row>
    <row r="70" spans="1:31" x14ac:dyDescent="0.3">
      <c r="A70" t="s">
        <v>75</v>
      </c>
      <c r="B70">
        <v>0</v>
      </c>
      <c r="C70">
        <f t="shared" si="0"/>
        <v>7.5905038217414385</v>
      </c>
      <c r="D70">
        <f t="shared" si="1"/>
        <v>0</v>
      </c>
      <c r="E70">
        <f t="shared" si="2"/>
        <v>0</v>
      </c>
      <c r="F70">
        <f t="shared" si="2"/>
        <v>0</v>
      </c>
      <c r="G70">
        <f t="shared" si="3"/>
        <v>0</v>
      </c>
      <c r="H70">
        <f t="shared" si="4"/>
        <v>0</v>
      </c>
      <c r="I70" t="str">
        <f t="shared" si="5"/>
        <v>-</v>
      </c>
      <c r="J70">
        <v>6.6630733331300718</v>
      </c>
      <c r="K70">
        <v>10.022736434960811</v>
      </c>
      <c r="L70">
        <v>6.0857016971334295</v>
      </c>
      <c r="M70">
        <v>0</v>
      </c>
      <c r="N70" t="s">
        <v>52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52</v>
      </c>
      <c r="AA70" t="s">
        <v>52</v>
      </c>
      <c r="AB70" t="s">
        <v>52</v>
      </c>
      <c r="AC70" t="s">
        <v>52</v>
      </c>
      <c r="AD70" t="s">
        <v>52</v>
      </c>
      <c r="AE70" t="s">
        <v>52</v>
      </c>
    </row>
    <row r="71" spans="1:31" x14ac:dyDescent="0.3">
      <c r="A71" t="s">
        <v>76</v>
      </c>
      <c r="B71">
        <v>3.6764705882352942E-2</v>
      </c>
      <c r="C71">
        <f t="shared" si="0"/>
        <v>7.8758999258501392</v>
      </c>
      <c r="D71">
        <f t="shared" si="1"/>
        <v>0</v>
      </c>
      <c r="E71">
        <f t="shared" si="2"/>
        <v>0</v>
      </c>
      <c r="F71">
        <f t="shared" si="2"/>
        <v>0</v>
      </c>
      <c r="G71">
        <f t="shared" si="3"/>
        <v>0</v>
      </c>
      <c r="H71">
        <f t="shared" si="4"/>
        <v>0</v>
      </c>
      <c r="I71" t="str">
        <f t="shared" si="5"/>
        <v>-</v>
      </c>
      <c r="J71">
        <v>10.125924124310661</v>
      </c>
      <c r="K71">
        <v>6.734650753472768</v>
      </c>
      <c r="L71">
        <v>6.7671248997669906</v>
      </c>
      <c r="M71">
        <v>0</v>
      </c>
      <c r="N71" t="s">
        <v>52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</row>
    <row r="72" spans="1:31" x14ac:dyDescent="0.3">
      <c r="A72" t="s">
        <v>77</v>
      </c>
      <c r="B72">
        <v>0</v>
      </c>
      <c r="C72">
        <f t="shared" si="0"/>
        <v>7.7768138220797987</v>
      </c>
      <c r="D72">
        <f t="shared" si="1"/>
        <v>0</v>
      </c>
      <c r="E72">
        <f t="shared" si="2"/>
        <v>0</v>
      </c>
      <c r="F72">
        <f t="shared" si="2"/>
        <v>0</v>
      </c>
      <c r="G72">
        <f t="shared" si="3"/>
        <v>0</v>
      </c>
      <c r="H72">
        <f t="shared" si="4"/>
        <v>0</v>
      </c>
      <c r="I72" t="str">
        <f t="shared" si="5"/>
        <v>-</v>
      </c>
      <c r="J72">
        <v>6.0691820357368282</v>
      </c>
      <c r="K72">
        <v>6.4423594223889689</v>
      </c>
      <c r="L72">
        <v>10.818900008113598</v>
      </c>
      <c r="M72">
        <v>0</v>
      </c>
      <c r="N72" t="s">
        <v>52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52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</row>
    <row r="73" spans="1:31" x14ac:dyDescent="0.3">
      <c r="A73" t="s">
        <v>78</v>
      </c>
      <c r="B73">
        <v>0</v>
      </c>
      <c r="C73">
        <v>7.1378598947672467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52</v>
      </c>
      <c r="J73">
        <v>5.9243095267915775</v>
      </c>
      <c r="K73">
        <v>9.8188073480542943</v>
      </c>
      <c r="L73">
        <v>5.67046280945587</v>
      </c>
      <c r="M73">
        <v>0</v>
      </c>
      <c r="N73" t="s">
        <v>52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52</v>
      </c>
      <c r="AA73" t="s">
        <v>52</v>
      </c>
      <c r="AB73" t="s">
        <v>52</v>
      </c>
      <c r="AC73" t="s">
        <v>52</v>
      </c>
      <c r="AD73" t="s">
        <v>52</v>
      </c>
      <c r="AE73" t="s">
        <v>52</v>
      </c>
    </row>
    <row r="74" spans="1:31" x14ac:dyDescent="0.3">
      <c r="A74" t="s">
        <v>80</v>
      </c>
      <c r="B74">
        <v>0</v>
      </c>
      <c r="C74">
        <v>7.3801939402664596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52</v>
      </c>
      <c r="J74">
        <v>5.6887431681155789</v>
      </c>
      <c r="K74">
        <v>10.464726907874034</v>
      </c>
      <c r="L74">
        <v>5.9871117448097655</v>
      </c>
      <c r="M74">
        <v>0</v>
      </c>
      <c r="N74" t="s">
        <v>52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52</v>
      </c>
      <c r="AA74" t="s">
        <v>52</v>
      </c>
      <c r="AB74" t="s">
        <v>52</v>
      </c>
      <c r="AC74" t="s">
        <v>52</v>
      </c>
      <c r="AD74" t="s">
        <v>52</v>
      </c>
      <c r="AE74" t="s">
        <v>52</v>
      </c>
    </row>
    <row r="75" spans="1:31" x14ac:dyDescent="0.3">
      <c r="A75" t="s">
        <v>81</v>
      </c>
      <c r="B75">
        <v>0</v>
      </c>
      <c r="C75">
        <v>7.4661679434214934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52</v>
      </c>
      <c r="J75">
        <v>6.65597964954351</v>
      </c>
      <c r="K75">
        <v>9.9828352387336725</v>
      </c>
      <c r="L75">
        <v>5.7596889419873003</v>
      </c>
      <c r="M75">
        <v>0</v>
      </c>
      <c r="N75" t="s">
        <v>52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52</v>
      </c>
      <c r="AA75" t="s">
        <v>52</v>
      </c>
      <c r="AB75" t="s">
        <v>52</v>
      </c>
      <c r="AC75" t="s">
        <v>52</v>
      </c>
      <c r="AD75" t="s">
        <v>52</v>
      </c>
      <c r="AE75" t="s">
        <v>52</v>
      </c>
    </row>
    <row r="76" spans="1:31" x14ac:dyDescent="0.3">
      <c r="A76" t="s">
        <v>82</v>
      </c>
      <c r="B76">
        <v>0</v>
      </c>
      <c r="C76">
        <v>7.6428761167697195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52</v>
      </c>
      <c r="J76">
        <v>6.1784712752583815</v>
      </c>
      <c r="K76">
        <v>6.5454550160998091</v>
      </c>
      <c r="L76">
        <v>10.204702058950968</v>
      </c>
      <c r="M76">
        <v>0</v>
      </c>
      <c r="N76" t="s">
        <v>52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52</v>
      </c>
      <c r="AA76" t="s">
        <v>52</v>
      </c>
      <c r="AB76" t="s">
        <v>52</v>
      </c>
      <c r="AC76" t="s">
        <v>52</v>
      </c>
      <c r="AD76" t="s">
        <v>52</v>
      </c>
      <c r="AE76" t="s">
        <v>52</v>
      </c>
    </row>
    <row r="77" spans="1:31" x14ac:dyDescent="0.3">
      <c r="A77" t="s">
        <v>83</v>
      </c>
      <c r="B77">
        <v>0</v>
      </c>
      <c r="C77">
        <v>7.3645560873605618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52</v>
      </c>
      <c r="J77">
        <v>5.8330569801447307</v>
      </c>
      <c r="K77">
        <v>10.160128333645613</v>
      </c>
      <c r="L77">
        <v>6.1004829482913401</v>
      </c>
      <c r="M77">
        <v>0</v>
      </c>
      <c r="N77" t="s">
        <v>52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52</v>
      </c>
      <c r="AA77" t="s">
        <v>52</v>
      </c>
      <c r="AB77" t="s">
        <v>52</v>
      </c>
      <c r="AC77" t="s">
        <v>52</v>
      </c>
      <c r="AD77" t="s">
        <v>52</v>
      </c>
      <c r="AE77" t="s">
        <v>52</v>
      </c>
    </row>
    <row r="78" spans="1:31" x14ac:dyDescent="0.3">
      <c r="A78" t="s">
        <v>84</v>
      </c>
      <c r="B78">
        <v>0</v>
      </c>
      <c r="C78">
        <v>7.6332675790958682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52</v>
      </c>
      <c r="J78">
        <v>6.7599654335624209</v>
      </c>
      <c r="K78">
        <v>10.095774779237958</v>
      </c>
      <c r="L78">
        <v>6.0440625244872264</v>
      </c>
      <c r="M78">
        <v>0</v>
      </c>
      <c r="N78" t="s">
        <v>52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52</v>
      </c>
      <c r="AA78" t="s">
        <v>52</v>
      </c>
      <c r="AB78" t="s">
        <v>52</v>
      </c>
      <c r="AC78" t="s">
        <v>52</v>
      </c>
      <c r="AD78" t="s">
        <v>52</v>
      </c>
      <c r="AE78" t="s">
        <v>52</v>
      </c>
    </row>
    <row r="79" spans="1:31" x14ac:dyDescent="0.3">
      <c r="A79" t="s">
        <v>85</v>
      </c>
      <c r="B79">
        <v>0</v>
      </c>
      <c r="C79">
        <v>7.42906091604765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52</v>
      </c>
      <c r="J79">
        <v>6.4254981010009606</v>
      </c>
      <c r="K79">
        <v>9.4549585327592762</v>
      </c>
      <c r="L79">
        <v>6.4067261143827148</v>
      </c>
      <c r="M79">
        <v>0</v>
      </c>
      <c r="N79" t="s">
        <v>52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52</v>
      </c>
      <c r="AA79" t="s">
        <v>52</v>
      </c>
      <c r="AB79" t="s">
        <v>52</v>
      </c>
      <c r="AC79" t="s">
        <v>52</v>
      </c>
      <c r="AD79" t="s">
        <v>52</v>
      </c>
      <c r="AE79" t="s">
        <v>52</v>
      </c>
    </row>
    <row r="80" spans="1:31" x14ac:dyDescent="0.3">
      <c r="A80" t="s">
        <v>86</v>
      </c>
      <c r="B80">
        <v>0</v>
      </c>
      <c r="C80">
        <v>7.6047838212783558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52</v>
      </c>
      <c r="J80">
        <v>6.5262629743317833</v>
      </c>
      <c r="K80">
        <v>9.7091171280506554</v>
      </c>
      <c r="L80">
        <v>6.578971361452628</v>
      </c>
      <c r="M80">
        <v>0</v>
      </c>
      <c r="N80" t="s">
        <v>52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52</v>
      </c>
      <c r="AA80" t="s">
        <v>52</v>
      </c>
      <c r="AB80" t="s">
        <v>52</v>
      </c>
      <c r="AC80" t="s">
        <v>52</v>
      </c>
      <c r="AD80" t="s">
        <v>52</v>
      </c>
      <c r="AE80" t="s">
        <v>52</v>
      </c>
    </row>
    <row r="81" spans="1:31" x14ac:dyDescent="0.3">
      <c r="A81" t="s">
        <v>87</v>
      </c>
      <c r="B81">
        <v>3.7467216185837392E-2</v>
      </c>
      <c r="C81">
        <v>7.6297276481505323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52</v>
      </c>
      <c r="J81">
        <v>6.6807423522745788</v>
      </c>
      <c r="K81">
        <v>6.485347386446394</v>
      </c>
      <c r="L81">
        <v>9.7230932057306259</v>
      </c>
      <c r="M81">
        <v>0</v>
      </c>
      <c r="N81" t="s">
        <v>52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52</v>
      </c>
      <c r="AA81" t="s">
        <v>52</v>
      </c>
      <c r="AB81" t="s">
        <v>52</v>
      </c>
      <c r="AC81" t="s">
        <v>52</v>
      </c>
      <c r="AD81" t="s">
        <v>52</v>
      </c>
      <c r="AE81" t="s">
        <v>52</v>
      </c>
    </row>
    <row r="82" spans="1:31" x14ac:dyDescent="0.3">
      <c r="A82" t="s">
        <v>88</v>
      </c>
      <c r="B82">
        <v>0</v>
      </c>
      <c r="C82">
        <v>7.4628820364116466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52</v>
      </c>
      <c r="J82">
        <v>6.4959546854494326</v>
      </c>
      <c r="K82">
        <v>9.2681180351340959</v>
      </c>
      <c r="L82">
        <v>6.6245733886514122</v>
      </c>
      <c r="M82">
        <v>0</v>
      </c>
      <c r="N82" t="s">
        <v>52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</row>
    <row r="83" spans="1:31" x14ac:dyDescent="0.3">
      <c r="A83" t="s">
        <v>89</v>
      </c>
      <c r="B83">
        <v>3.6010082823190494E-2</v>
      </c>
      <c r="C83">
        <v>7.3630580405404613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52</v>
      </c>
      <c r="J83">
        <v>5.5503537654488238</v>
      </c>
      <c r="K83">
        <v>9.7751774267709219</v>
      </c>
      <c r="L83">
        <v>6.7636429294016365</v>
      </c>
      <c r="M83">
        <v>0</v>
      </c>
      <c r="N83" t="s">
        <v>52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52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</row>
    <row r="84" spans="1:31" x14ac:dyDescent="0.3">
      <c r="A84" t="s">
        <v>90</v>
      </c>
      <c r="B84">
        <v>0</v>
      </c>
      <c r="C84">
        <v>7.4088728930922256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52</v>
      </c>
      <c r="J84">
        <v>5.6373342727539617</v>
      </c>
      <c r="K84">
        <v>10.205929289793179</v>
      </c>
      <c r="L84">
        <v>6.3833551167295361</v>
      </c>
      <c r="M84">
        <v>0</v>
      </c>
      <c r="N84" t="s">
        <v>52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52</v>
      </c>
      <c r="AA84" t="s">
        <v>52</v>
      </c>
      <c r="AB84" t="s">
        <v>52</v>
      </c>
      <c r="AC84" t="s">
        <v>52</v>
      </c>
      <c r="AD84" t="s">
        <v>52</v>
      </c>
      <c r="AE84" t="s">
        <v>52</v>
      </c>
    </row>
    <row r="85" spans="1:31" x14ac:dyDescent="0.3">
      <c r="A85" t="s">
        <v>92</v>
      </c>
      <c r="B85">
        <v>0</v>
      </c>
      <c r="C85">
        <v>7.5992766546872232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52</v>
      </c>
      <c r="J85">
        <v>6.0046381821312504</v>
      </c>
      <c r="K85">
        <v>6.3922111133409496</v>
      </c>
      <c r="L85">
        <v>10.400980668589469</v>
      </c>
      <c r="M85">
        <v>0</v>
      </c>
      <c r="N85" t="s">
        <v>52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52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</row>
    <row r="86" spans="1:31" x14ac:dyDescent="0.3">
      <c r="A86" t="s">
        <v>93</v>
      </c>
      <c r="B86">
        <v>0</v>
      </c>
      <c r="C86">
        <v>7.4217585159958182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52</v>
      </c>
      <c r="J86">
        <v>6.2945737521869241</v>
      </c>
      <c r="K86">
        <v>9.9024002709460053</v>
      </c>
      <c r="L86">
        <v>6.0683015248545216</v>
      </c>
      <c r="M86">
        <v>0</v>
      </c>
      <c r="N86" t="s">
        <v>52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</row>
    <row r="87" spans="1:31" x14ac:dyDescent="0.3">
      <c r="A87" t="s">
        <v>94</v>
      </c>
      <c r="B87">
        <v>0</v>
      </c>
      <c r="C87">
        <v>7.7713850121976398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52</v>
      </c>
      <c r="J87">
        <v>6.7180836374026951</v>
      </c>
      <c r="K87">
        <v>10.288256142420103</v>
      </c>
      <c r="L87">
        <v>6.3078152567701187</v>
      </c>
      <c r="M87">
        <v>0</v>
      </c>
      <c r="N87" t="s">
        <v>52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52</v>
      </c>
      <c r="AA87" t="s">
        <v>52</v>
      </c>
      <c r="AB87" t="s">
        <v>52</v>
      </c>
      <c r="AC87" t="s">
        <v>52</v>
      </c>
      <c r="AD87" t="s">
        <v>52</v>
      </c>
      <c r="AE87" t="s">
        <v>52</v>
      </c>
    </row>
    <row r="88" spans="1:31" x14ac:dyDescent="0.3">
      <c r="A88" t="s">
        <v>95</v>
      </c>
      <c r="B88">
        <v>0</v>
      </c>
      <c r="C88">
        <v>7.6353536376900779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52</v>
      </c>
      <c r="J88">
        <v>6.8483465554968808</v>
      </c>
      <c r="K88">
        <v>9.7550569843689097</v>
      </c>
      <c r="L88">
        <v>6.3026573732044442</v>
      </c>
      <c r="M88">
        <v>0</v>
      </c>
      <c r="N88" t="s">
        <v>52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52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</row>
    <row r="89" spans="1:31" x14ac:dyDescent="0.3">
      <c r="A89" t="s">
        <v>96</v>
      </c>
      <c r="B89">
        <v>0</v>
      </c>
      <c r="C89">
        <v>7.5568343019152282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52</v>
      </c>
      <c r="J89">
        <v>6.2861783858360321</v>
      </c>
      <c r="K89">
        <v>6.4874598230845315</v>
      </c>
      <c r="L89">
        <v>9.8968646968251228</v>
      </c>
      <c r="M89">
        <v>0</v>
      </c>
      <c r="N89" t="s">
        <v>52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</row>
    <row r="90" spans="1:31" x14ac:dyDescent="0.3">
      <c r="A90" t="s">
        <v>97</v>
      </c>
      <c r="B90">
        <v>0</v>
      </c>
      <c r="C90">
        <v>7.7167202185803516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52</v>
      </c>
      <c r="J90">
        <v>10.368860078583756</v>
      </c>
      <c r="K90">
        <v>6.4541011470324525</v>
      </c>
      <c r="L90">
        <v>6.3271994301248471</v>
      </c>
      <c r="M90">
        <v>0</v>
      </c>
      <c r="N90" t="s">
        <v>52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52</v>
      </c>
      <c r="AA90" t="s">
        <v>52</v>
      </c>
      <c r="AB90" t="s">
        <v>52</v>
      </c>
      <c r="AC90" t="s">
        <v>52</v>
      </c>
      <c r="AD90" t="s">
        <v>52</v>
      </c>
      <c r="AE90" t="s">
        <v>52</v>
      </c>
    </row>
    <row r="91" spans="1:31" x14ac:dyDescent="0.3">
      <c r="A91" t="s">
        <v>98</v>
      </c>
      <c r="B91">
        <v>0</v>
      </c>
      <c r="C91">
        <v>7.7220908563456376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52</v>
      </c>
      <c r="J91">
        <v>6.7760327064249228</v>
      </c>
      <c r="K91">
        <v>10.198813685081273</v>
      </c>
      <c r="L91">
        <v>6.1914261775307171</v>
      </c>
      <c r="M91">
        <v>0</v>
      </c>
      <c r="N91" t="s">
        <v>52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52</v>
      </c>
      <c r="AA91" t="s">
        <v>52</v>
      </c>
      <c r="AB91" t="s">
        <v>52</v>
      </c>
      <c r="AC91" t="s">
        <v>52</v>
      </c>
      <c r="AD91" t="s">
        <v>52</v>
      </c>
      <c r="AE91" t="s">
        <v>52</v>
      </c>
    </row>
    <row r="92" spans="1:31" x14ac:dyDescent="0.3">
      <c r="A92" t="s">
        <v>99</v>
      </c>
      <c r="B92">
        <v>0</v>
      </c>
      <c r="C92">
        <v>7.7644465455735192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52</v>
      </c>
      <c r="J92">
        <v>6.5923027979855329</v>
      </c>
      <c r="K92">
        <v>6.412981570499479</v>
      </c>
      <c r="L92">
        <v>10.288055268235546</v>
      </c>
      <c r="M92">
        <v>0</v>
      </c>
      <c r="N92" t="s">
        <v>52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52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</row>
    <row r="93" spans="1:31" x14ac:dyDescent="0.3">
      <c r="A93" t="s">
        <v>100</v>
      </c>
      <c r="B93">
        <v>3.82262996941896E-2</v>
      </c>
      <c r="C93">
        <v>7.5528604017048027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52</v>
      </c>
      <c r="J93">
        <v>6.6655001117468569</v>
      </c>
      <c r="K93">
        <v>6.4577451104577701</v>
      </c>
      <c r="L93">
        <v>9.5353359829097819</v>
      </c>
      <c r="M93">
        <v>0</v>
      </c>
      <c r="N93" t="s">
        <v>52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E93" t="s">
        <v>52</v>
      </c>
    </row>
    <row r="94" spans="1:31" x14ac:dyDescent="0.3">
      <c r="A94" t="s">
        <v>101</v>
      </c>
      <c r="B94">
        <v>0</v>
      </c>
      <c r="C94">
        <v>7.7655540967714574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52</v>
      </c>
      <c r="J94">
        <v>6.4769560807620374</v>
      </c>
      <c r="K94">
        <v>6.1969356076580029</v>
      </c>
      <c r="L94">
        <v>10.622770601894331</v>
      </c>
      <c r="M94">
        <v>0</v>
      </c>
      <c r="N94" t="s">
        <v>52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52</v>
      </c>
      <c r="AA94" t="s">
        <v>52</v>
      </c>
      <c r="AB94" t="s">
        <v>52</v>
      </c>
      <c r="AC94" t="s">
        <v>52</v>
      </c>
      <c r="AD94" t="s">
        <v>52</v>
      </c>
      <c r="AE94" t="s">
        <v>52</v>
      </c>
    </row>
    <row r="95" spans="1:31" x14ac:dyDescent="0.3">
      <c r="A95" t="s">
        <v>102</v>
      </c>
      <c r="B95">
        <v>0</v>
      </c>
      <c r="C95">
        <v>7.8540842140716807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52</v>
      </c>
      <c r="J95">
        <v>7.2756681099514999</v>
      </c>
      <c r="K95">
        <v>10.507574781623461</v>
      </c>
      <c r="L95">
        <v>5.7790097506400802</v>
      </c>
      <c r="M95">
        <v>0</v>
      </c>
      <c r="N95" t="s">
        <v>52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52</v>
      </c>
      <c r="AA95" t="s">
        <v>52</v>
      </c>
      <c r="AB95" t="s">
        <v>52</v>
      </c>
      <c r="AC95" t="s">
        <v>52</v>
      </c>
      <c r="AD95" t="s">
        <v>52</v>
      </c>
      <c r="AE95" t="s">
        <v>52</v>
      </c>
    </row>
    <row r="96" spans="1:31" x14ac:dyDescent="0.3">
      <c r="A96" t="s">
        <v>103</v>
      </c>
      <c r="B96">
        <v>0</v>
      </c>
      <c r="C96">
        <v>7.0188706526719074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52</v>
      </c>
      <c r="J96">
        <v>5.9202337607557372</v>
      </c>
      <c r="K96">
        <v>9.1263693846389966</v>
      </c>
      <c r="L96">
        <v>6.0100088126209865</v>
      </c>
      <c r="M96">
        <v>0</v>
      </c>
      <c r="N96" t="s">
        <v>52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</row>
    <row r="97" spans="1:31" x14ac:dyDescent="0.3">
      <c r="A97" t="s">
        <v>104</v>
      </c>
      <c r="B97">
        <v>0</v>
      </c>
      <c r="C97">
        <v>7.8017145385660642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52</v>
      </c>
      <c r="J97">
        <v>6.2624638548210187</v>
      </c>
      <c r="K97">
        <v>6.6171317219184962</v>
      </c>
      <c r="L97">
        <v>10.525548038958679</v>
      </c>
      <c r="M97">
        <v>0</v>
      </c>
      <c r="N97" t="s">
        <v>52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52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</row>
    <row r="98" spans="1:31" x14ac:dyDescent="0.3">
      <c r="A98" t="s">
        <v>105</v>
      </c>
      <c r="B98">
        <v>0</v>
      </c>
      <c r="C98">
        <v>7.2616032252362004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52</v>
      </c>
      <c r="J98">
        <v>6.1601136319983452</v>
      </c>
      <c r="K98">
        <v>9.5931623092489993</v>
      </c>
      <c r="L98">
        <v>6.0315337344612558</v>
      </c>
      <c r="M98">
        <v>0</v>
      </c>
      <c r="N98" t="s">
        <v>52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52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</row>
    <row r="99" spans="1:31" x14ac:dyDescent="0.3">
      <c r="A99" t="s">
        <v>106</v>
      </c>
      <c r="B99">
        <v>0</v>
      </c>
      <c r="C99">
        <v>7.3788526769511522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52</v>
      </c>
      <c r="J99">
        <v>6.1838762008826436</v>
      </c>
      <c r="K99">
        <v>6.361721100867813</v>
      </c>
      <c r="L99">
        <v>9.590960729103001</v>
      </c>
      <c r="M99">
        <v>0</v>
      </c>
      <c r="N99" t="s">
        <v>52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52</v>
      </c>
      <c r="AA99" t="s">
        <v>52</v>
      </c>
      <c r="AB99" t="s">
        <v>52</v>
      </c>
      <c r="AC99" t="s">
        <v>52</v>
      </c>
      <c r="AD99" t="s">
        <v>52</v>
      </c>
      <c r="AE99" t="s">
        <v>52</v>
      </c>
    </row>
    <row r="100" spans="1:31" x14ac:dyDescent="0.3">
      <c r="A100" t="s">
        <v>107</v>
      </c>
      <c r="B100">
        <v>0</v>
      </c>
      <c r="C100">
        <v>7.7515357329769889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52</v>
      </c>
      <c r="J100">
        <v>7.1094191617226263</v>
      </c>
      <c r="K100">
        <v>9.4233297852357403</v>
      </c>
      <c r="L100">
        <v>6.7218582519725976</v>
      </c>
      <c r="M100">
        <v>0</v>
      </c>
      <c r="N100" t="s">
        <v>52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52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</row>
    <row r="101" spans="1:31" x14ac:dyDescent="0.3">
      <c r="A101" t="s">
        <v>108</v>
      </c>
      <c r="B101">
        <v>0</v>
      </c>
      <c r="C101">
        <v>8.0569796230538469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52</v>
      </c>
      <c r="J101">
        <v>6.3987107044062475</v>
      </c>
      <c r="K101">
        <v>10.39217784595216</v>
      </c>
      <c r="L101">
        <v>7.3800503188031321</v>
      </c>
      <c r="M101">
        <v>0</v>
      </c>
      <c r="N101" t="s">
        <v>52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52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</row>
    <row r="102" spans="1:31" x14ac:dyDescent="0.3">
      <c r="A102" t="s">
        <v>109</v>
      </c>
      <c r="B102">
        <v>0</v>
      </c>
      <c r="C102">
        <v>8.0506811780538676</v>
      </c>
      <c r="D102">
        <v>0</v>
      </c>
      <c r="E102">
        <v>3.6140224069389229E-2</v>
      </c>
      <c r="F102">
        <v>0</v>
      </c>
      <c r="G102">
        <v>0</v>
      </c>
      <c r="H102">
        <v>0</v>
      </c>
      <c r="I102" t="s">
        <v>52</v>
      </c>
      <c r="J102">
        <v>6.6558596427554155</v>
      </c>
      <c r="K102">
        <v>10.68340599598417</v>
      </c>
      <c r="L102">
        <v>6.8127778954220171</v>
      </c>
      <c r="M102">
        <v>0</v>
      </c>
      <c r="N102" t="s">
        <v>52</v>
      </c>
      <c r="O102">
        <v>3.6140224069389229E-2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</row>
    <row r="103" spans="1:31" x14ac:dyDescent="0.3">
      <c r="A103" t="s">
        <v>110</v>
      </c>
      <c r="B103">
        <v>0</v>
      </c>
      <c r="C103">
        <v>7.48102735547047</v>
      </c>
      <c r="D103">
        <v>0</v>
      </c>
      <c r="E103">
        <v>3.7893141341417205E-2</v>
      </c>
      <c r="F103">
        <v>3.8699690402476776E-2</v>
      </c>
      <c r="G103">
        <v>0</v>
      </c>
      <c r="H103">
        <v>0</v>
      </c>
      <c r="I103" t="s">
        <v>52</v>
      </c>
      <c r="J103">
        <v>6.664244688106435</v>
      </c>
      <c r="K103">
        <v>6.4888043190940428</v>
      </c>
      <c r="L103">
        <v>9.2900330592109324</v>
      </c>
      <c r="M103">
        <v>0</v>
      </c>
      <c r="N103" t="s">
        <v>52</v>
      </c>
      <c r="O103">
        <v>3.7893141341417205E-2</v>
      </c>
      <c r="P103">
        <v>3.8699690402476776E-2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52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</row>
    <row r="104" spans="1:31" x14ac:dyDescent="0.3">
      <c r="A104" t="s">
        <v>111</v>
      </c>
      <c r="B104">
        <v>3.7921880925293895E-2</v>
      </c>
      <c r="C104">
        <v>8.1662089319496811</v>
      </c>
      <c r="D104">
        <v>0</v>
      </c>
      <c r="E104">
        <v>7.1073205401563616E-2</v>
      </c>
      <c r="F104">
        <v>0</v>
      </c>
      <c r="G104">
        <v>0</v>
      </c>
      <c r="H104">
        <v>0</v>
      </c>
      <c r="I104" t="s">
        <v>52</v>
      </c>
      <c r="J104">
        <v>6.9069970524326987</v>
      </c>
      <c r="K104">
        <v>10.841293988183791</v>
      </c>
      <c r="L104">
        <v>6.7503357552325518</v>
      </c>
      <c r="M104">
        <v>0</v>
      </c>
      <c r="N104" t="s">
        <v>52</v>
      </c>
      <c r="O104">
        <v>7.1073205401563616E-2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52</v>
      </c>
      <c r="AA104" t="s">
        <v>52</v>
      </c>
      <c r="AB104" t="s">
        <v>52</v>
      </c>
      <c r="AC104" t="s">
        <v>52</v>
      </c>
      <c r="AD104" t="s">
        <v>52</v>
      </c>
      <c r="AE104" t="s">
        <v>52</v>
      </c>
    </row>
    <row r="105" spans="1:31" x14ac:dyDescent="0.3">
      <c r="A105" t="s">
        <v>112</v>
      </c>
      <c r="B105">
        <v>0</v>
      </c>
      <c r="C105">
        <v>8.3361052472890016</v>
      </c>
      <c r="D105">
        <v>0</v>
      </c>
      <c r="E105">
        <v>0.24927295388450352</v>
      </c>
      <c r="F105">
        <v>4.0387722132471729E-2</v>
      </c>
      <c r="G105">
        <v>0</v>
      </c>
      <c r="H105">
        <v>0</v>
      </c>
      <c r="I105" t="s">
        <v>52</v>
      </c>
      <c r="J105">
        <v>7.398457500610597</v>
      </c>
      <c r="K105">
        <v>7.437662458266689</v>
      </c>
      <c r="L105">
        <v>10.172195782989718</v>
      </c>
      <c r="M105">
        <v>0</v>
      </c>
      <c r="N105" t="s">
        <v>52</v>
      </c>
      <c r="O105">
        <v>0.24927295388450352</v>
      </c>
      <c r="P105">
        <v>4.0387722132471729E-2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52</v>
      </c>
      <c r="AA105" t="s">
        <v>52</v>
      </c>
      <c r="AB105" t="s">
        <v>52</v>
      </c>
      <c r="AC105" t="s">
        <v>52</v>
      </c>
      <c r="AD105" t="s">
        <v>52</v>
      </c>
      <c r="AE105" t="s">
        <v>52</v>
      </c>
    </row>
    <row r="106" spans="1:31" x14ac:dyDescent="0.3">
      <c r="A106" t="s">
        <v>113</v>
      </c>
      <c r="B106">
        <v>0</v>
      </c>
      <c r="C106">
        <v>7.7529162468991011</v>
      </c>
      <c r="D106">
        <v>0</v>
      </c>
      <c r="E106">
        <v>0.29271862422246614</v>
      </c>
      <c r="F106">
        <v>0.29850746268656719</v>
      </c>
      <c r="G106">
        <v>0</v>
      </c>
      <c r="H106">
        <v>0</v>
      </c>
      <c r="I106" t="s">
        <v>52</v>
      </c>
      <c r="J106">
        <v>6.4455125215779141</v>
      </c>
      <c r="K106">
        <v>9.9055366430771468</v>
      </c>
      <c r="L106">
        <v>6.907699576042245</v>
      </c>
      <c r="M106">
        <v>0</v>
      </c>
      <c r="N106" t="s">
        <v>52</v>
      </c>
      <c r="O106">
        <v>0.29271862422246614</v>
      </c>
      <c r="P106">
        <v>0.29850746268656719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52</v>
      </c>
      <c r="AA106" t="s">
        <v>52</v>
      </c>
      <c r="AB106" t="s">
        <v>52</v>
      </c>
      <c r="AC106" t="s">
        <v>52</v>
      </c>
      <c r="AD106" t="s">
        <v>52</v>
      </c>
      <c r="AE106" t="s">
        <v>52</v>
      </c>
    </row>
    <row r="107" spans="1:31" x14ac:dyDescent="0.3">
      <c r="A107" t="s">
        <v>114</v>
      </c>
      <c r="B107">
        <v>0</v>
      </c>
      <c r="C107">
        <v>8.3196195077886319</v>
      </c>
      <c r="D107">
        <v>0</v>
      </c>
      <c r="E107">
        <v>0.39011703511053314</v>
      </c>
      <c r="F107">
        <v>0.39187744923405776</v>
      </c>
      <c r="G107">
        <v>0</v>
      </c>
      <c r="H107">
        <v>0</v>
      </c>
      <c r="I107" t="s">
        <v>52</v>
      </c>
      <c r="J107">
        <v>6.946351891373995</v>
      </c>
      <c r="K107">
        <v>9.6539941057404928</v>
      </c>
      <c r="L107">
        <v>8.3585125262514079</v>
      </c>
      <c r="M107">
        <v>0</v>
      </c>
      <c r="N107" t="s">
        <v>52</v>
      </c>
      <c r="O107">
        <v>0.39011703511053314</v>
      </c>
      <c r="P107">
        <v>0.39187744923405776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52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</row>
    <row r="108" spans="1:31" x14ac:dyDescent="0.3">
      <c r="A108" t="s">
        <v>115</v>
      </c>
      <c r="B108">
        <v>3.6231884057971009E-2</v>
      </c>
      <c r="C108">
        <v>8.1816722169555973</v>
      </c>
      <c r="D108">
        <v>0</v>
      </c>
      <c r="E108">
        <v>0.63009636767976274</v>
      </c>
      <c r="F108">
        <v>0.54744525547445255</v>
      </c>
      <c r="G108">
        <v>0</v>
      </c>
      <c r="H108">
        <v>0</v>
      </c>
      <c r="I108" t="s">
        <v>52</v>
      </c>
      <c r="J108">
        <v>7.037602819661199</v>
      </c>
      <c r="K108">
        <v>10.283028314920795</v>
      </c>
      <c r="L108">
        <v>7.2243855162847987</v>
      </c>
      <c r="M108">
        <v>0</v>
      </c>
      <c r="N108" t="s">
        <v>52</v>
      </c>
      <c r="O108">
        <v>0.63009636767976274</v>
      </c>
      <c r="P108">
        <v>0.54744525547445255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52</v>
      </c>
      <c r="AA108" t="s">
        <v>52</v>
      </c>
      <c r="AB108" t="s">
        <v>52</v>
      </c>
      <c r="AC108" t="s">
        <v>52</v>
      </c>
      <c r="AD108" t="s">
        <v>52</v>
      </c>
      <c r="AE108" t="s">
        <v>52</v>
      </c>
    </row>
    <row r="109" spans="1:31" x14ac:dyDescent="0.3">
      <c r="A109" t="s">
        <v>116</v>
      </c>
      <c r="B109">
        <v>0</v>
      </c>
      <c r="C109">
        <v>7.91925454329796</v>
      </c>
      <c r="D109">
        <v>0</v>
      </c>
      <c r="E109">
        <v>0.56919245819992881</v>
      </c>
      <c r="F109">
        <v>0.68765834238146939</v>
      </c>
      <c r="G109">
        <v>0</v>
      </c>
      <c r="H109">
        <v>0</v>
      </c>
      <c r="I109" t="s">
        <v>52</v>
      </c>
      <c r="J109">
        <v>7.1120608000635066</v>
      </c>
      <c r="K109">
        <v>9.6113687430992343</v>
      </c>
      <c r="L109">
        <v>7.0343340867311372</v>
      </c>
      <c r="M109">
        <v>0</v>
      </c>
      <c r="N109" t="s">
        <v>52</v>
      </c>
      <c r="O109">
        <v>0.56919245819992881</v>
      </c>
      <c r="P109">
        <v>0.68765834238146939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52</v>
      </c>
      <c r="AA109" t="s">
        <v>52</v>
      </c>
      <c r="AB109" t="s">
        <v>52</v>
      </c>
      <c r="AC109" t="s">
        <v>52</v>
      </c>
      <c r="AD109" t="s">
        <v>52</v>
      </c>
      <c r="AE109" t="s">
        <v>52</v>
      </c>
    </row>
    <row r="110" spans="1:31" x14ac:dyDescent="0.3">
      <c r="A110" t="s">
        <v>117</v>
      </c>
      <c r="B110">
        <v>0</v>
      </c>
      <c r="C110">
        <v>6.8889184719848258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52</v>
      </c>
      <c r="J110">
        <v>5.1467384871166457</v>
      </c>
      <c r="K110">
        <v>5.823939911299953</v>
      </c>
      <c r="L110">
        <v>9.6960770175378794</v>
      </c>
      <c r="M110">
        <v>0</v>
      </c>
      <c r="N110" t="s">
        <v>52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52</v>
      </c>
      <c r="AA110" t="s">
        <v>52</v>
      </c>
      <c r="AB110" t="s">
        <v>52</v>
      </c>
      <c r="AC110" t="s">
        <v>52</v>
      </c>
      <c r="AD110" t="s">
        <v>52</v>
      </c>
      <c r="AE110" t="s">
        <v>52</v>
      </c>
    </row>
    <row r="111" spans="1:31" x14ac:dyDescent="0.3">
      <c r="A111" t="s">
        <v>119</v>
      </c>
      <c r="B111">
        <v>0</v>
      </c>
      <c r="C111">
        <v>7.3727418404837524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52</v>
      </c>
      <c r="J111">
        <v>5.7412507869002809</v>
      </c>
      <c r="K111">
        <v>6.0725005363687945</v>
      </c>
      <c r="L111">
        <v>10.304474198182181</v>
      </c>
      <c r="M111">
        <v>0</v>
      </c>
      <c r="N111" t="s">
        <v>52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52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</row>
    <row r="112" spans="1:31" x14ac:dyDescent="0.3">
      <c r="A112" t="s">
        <v>120</v>
      </c>
      <c r="B112">
        <v>0</v>
      </c>
      <c r="C112">
        <v>7.1662983457604099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52</v>
      </c>
      <c r="J112">
        <v>9.7175626551782255</v>
      </c>
      <c r="K112">
        <v>6.033582506912083</v>
      </c>
      <c r="L112">
        <v>5.7477498751909213</v>
      </c>
      <c r="M112">
        <v>0</v>
      </c>
      <c r="N112" t="s">
        <v>52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52</v>
      </c>
      <c r="AA112" t="s">
        <v>52</v>
      </c>
      <c r="AB112" t="s">
        <v>52</v>
      </c>
      <c r="AC112" t="s">
        <v>52</v>
      </c>
      <c r="AD112" t="s">
        <v>52</v>
      </c>
      <c r="AE112" t="s">
        <v>52</v>
      </c>
    </row>
    <row r="113" spans="1:31" x14ac:dyDescent="0.3">
      <c r="A113" t="s">
        <v>121</v>
      </c>
      <c r="B113">
        <v>0</v>
      </c>
      <c r="C113">
        <v>7.8740981219833559</v>
      </c>
      <c r="D113">
        <v>0</v>
      </c>
      <c r="E113">
        <v>3.6523009495982472E-2</v>
      </c>
      <c r="F113">
        <v>0.19825535289452814</v>
      </c>
      <c r="G113">
        <v>0</v>
      </c>
      <c r="H113">
        <v>0</v>
      </c>
      <c r="I113" t="s">
        <v>52</v>
      </c>
      <c r="J113">
        <v>6.3197047663706503</v>
      </c>
      <c r="K113">
        <v>7.0671647949903589</v>
      </c>
      <c r="L113">
        <v>10.235424804589057</v>
      </c>
      <c r="M113">
        <v>0</v>
      </c>
      <c r="N113" t="s">
        <v>52</v>
      </c>
      <c r="O113">
        <v>3.6523009495982472E-2</v>
      </c>
      <c r="P113">
        <v>0.19825535289452814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52</v>
      </c>
      <c r="AA113" t="s">
        <v>52</v>
      </c>
      <c r="AB113" t="s">
        <v>52</v>
      </c>
      <c r="AC113" t="s">
        <v>52</v>
      </c>
      <c r="AD113" t="s">
        <v>52</v>
      </c>
      <c r="AE113" t="s">
        <v>52</v>
      </c>
    </row>
    <row r="114" spans="1:31" x14ac:dyDescent="0.3">
      <c r="A114" t="s">
        <v>122</v>
      </c>
      <c r="B114">
        <v>0</v>
      </c>
      <c r="C114">
        <v>7.845066516239787</v>
      </c>
      <c r="D114">
        <v>0</v>
      </c>
      <c r="E114">
        <v>0.19223375624759706</v>
      </c>
      <c r="F114">
        <v>3.635041802980734E-2</v>
      </c>
      <c r="G114">
        <v>0</v>
      </c>
      <c r="H114">
        <v>0</v>
      </c>
      <c r="I114" t="s">
        <v>52</v>
      </c>
      <c r="J114">
        <v>6.6685759921732339</v>
      </c>
      <c r="K114">
        <v>7.1509225018728246</v>
      </c>
      <c r="L114">
        <v>9.7157010546733051</v>
      </c>
      <c r="M114">
        <v>0</v>
      </c>
      <c r="N114" t="s">
        <v>52</v>
      </c>
      <c r="O114">
        <v>0.19223375624759706</v>
      </c>
      <c r="P114">
        <v>3.635041802980734E-2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52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</row>
    <row r="115" spans="1:31" x14ac:dyDescent="0.3">
      <c r="A115" t="s">
        <v>123</v>
      </c>
      <c r="B115">
        <v>0</v>
      </c>
      <c r="C115">
        <v>7.8377837291238412</v>
      </c>
      <c r="D115">
        <v>0</v>
      </c>
      <c r="E115">
        <v>0.29574861367837341</v>
      </c>
      <c r="F115">
        <v>0.137221269296741</v>
      </c>
      <c r="G115">
        <v>0</v>
      </c>
      <c r="H115">
        <v>0</v>
      </c>
      <c r="I115" t="s">
        <v>52</v>
      </c>
      <c r="J115">
        <v>10.928025979665156</v>
      </c>
      <c r="K115">
        <v>6.2393650829924425</v>
      </c>
      <c r="L115">
        <v>6.3459601247139217</v>
      </c>
      <c r="M115">
        <v>0</v>
      </c>
      <c r="N115" t="s">
        <v>52</v>
      </c>
      <c r="O115">
        <v>0.29574861367837341</v>
      </c>
      <c r="P115">
        <v>0.137221269296741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52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</row>
    <row r="116" spans="1:31" x14ac:dyDescent="0.3">
      <c r="A116" t="s">
        <v>124</v>
      </c>
      <c r="B116">
        <v>0</v>
      </c>
      <c r="C116">
        <v>7.675035707233584</v>
      </c>
      <c r="D116">
        <v>0</v>
      </c>
      <c r="E116">
        <v>0.13536379018612524</v>
      </c>
      <c r="F116">
        <v>0.24916943521594681</v>
      </c>
      <c r="G116">
        <v>0</v>
      </c>
      <c r="H116">
        <v>0</v>
      </c>
      <c r="I116" t="s">
        <v>52</v>
      </c>
      <c r="J116">
        <v>9.8742457869667799</v>
      </c>
      <c r="K116">
        <v>6.3650088174648118</v>
      </c>
      <c r="L116">
        <v>6.7858525172691593</v>
      </c>
      <c r="M116">
        <v>0</v>
      </c>
      <c r="N116" t="s">
        <v>52</v>
      </c>
      <c r="O116">
        <v>0.13536379018612524</v>
      </c>
      <c r="P116">
        <v>0.24916943521594681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52</v>
      </c>
      <c r="AA116" t="s">
        <v>52</v>
      </c>
      <c r="AB116" t="s">
        <v>52</v>
      </c>
      <c r="AC116" t="s">
        <v>52</v>
      </c>
      <c r="AD116" t="s">
        <v>52</v>
      </c>
      <c r="AE116" t="s">
        <v>52</v>
      </c>
    </row>
    <row r="117" spans="1:31" x14ac:dyDescent="0.3">
      <c r="A117" t="s">
        <v>125</v>
      </c>
      <c r="B117">
        <v>0</v>
      </c>
      <c r="C117">
        <v>7.7679339756750592</v>
      </c>
      <c r="D117">
        <v>0</v>
      </c>
      <c r="E117">
        <v>0.13698630136986301</v>
      </c>
      <c r="F117">
        <v>0.43772383605252685</v>
      </c>
      <c r="G117">
        <v>0</v>
      </c>
      <c r="H117">
        <v>0</v>
      </c>
      <c r="I117" t="s">
        <v>52</v>
      </c>
      <c r="J117">
        <v>6.4915036434286986</v>
      </c>
      <c r="K117">
        <v>9.3443058307087288</v>
      </c>
      <c r="L117">
        <v>7.4679924528877484</v>
      </c>
      <c r="M117">
        <v>0</v>
      </c>
      <c r="N117" t="s">
        <v>52</v>
      </c>
      <c r="O117">
        <v>0.13698630136986301</v>
      </c>
      <c r="P117">
        <v>0.43772383605252685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52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</row>
    <row r="118" spans="1:31" x14ac:dyDescent="0.3">
      <c r="A118" t="s">
        <v>126</v>
      </c>
      <c r="B118">
        <v>0</v>
      </c>
      <c r="C118">
        <v>7.6034242353007784</v>
      </c>
      <c r="D118">
        <v>0</v>
      </c>
      <c r="E118">
        <v>0.45985143261407857</v>
      </c>
      <c r="F118">
        <v>0.38270187523918869</v>
      </c>
      <c r="G118">
        <v>0</v>
      </c>
      <c r="H118">
        <v>0</v>
      </c>
      <c r="I118" t="s">
        <v>52</v>
      </c>
      <c r="J118">
        <v>6.492794490776606</v>
      </c>
      <c r="K118">
        <v>10.050061682766051</v>
      </c>
      <c r="L118">
        <v>6.2674165323596789</v>
      </c>
      <c r="M118">
        <v>0</v>
      </c>
      <c r="N118" t="s">
        <v>52</v>
      </c>
      <c r="O118">
        <v>0.45985143261407857</v>
      </c>
      <c r="P118">
        <v>0.38270187523918869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52</v>
      </c>
      <c r="AA118" t="s">
        <v>52</v>
      </c>
      <c r="AB118" t="s">
        <v>52</v>
      </c>
      <c r="AC118" t="s">
        <v>52</v>
      </c>
      <c r="AD118" t="s">
        <v>52</v>
      </c>
      <c r="AE118" t="s">
        <v>52</v>
      </c>
    </row>
    <row r="119" spans="1:31" x14ac:dyDescent="0.3">
      <c r="A119" t="s">
        <v>127</v>
      </c>
      <c r="B119">
        <v>0</v>
      </c>
      <c r="C119">
        <v>7.2988531636595146</v>
      </c>
      <c r="D119">
        <v>0</v>
      </c>
      <c r="E119">
        <v>0.53825451749327191</v>
      </c>
      <c r="F119">
        <v>0.61279203370356183</v>
      </c>
      <c r="G119">
        <v>0</v>
      </c>
      <c r="H119">
        <v>0</v>
      </c>
      <c r="I119" t="s">
        <v>52</v>
      </c>
      <c r="J119">
        <v>9.6063265070912074</v>
      </c>
      <c r="K119">
        <v>6.065167124885952</v>
      </c>
      <c r="L119">
        <v>6.2250658590013828</v>
      </c>
      <c r="M119">
        <v>0</v>
      </c>
      <c r="N119" t="s">
        <v>52</v>
      </c>
      <c r="O119">
        <v>0.53825451749327191</v>
      </c>
      <c r="P119">
        <v>0.61279203370356183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52</v>
      </c>
      <c r="AA119" t="s">
        <v>52</v>
      </c>
      <c r="AB119" t="s">
        <v>52</v>
      </c>
      <c r="AC119" t="s">
        <v>52</v>
      </c>
      <c r="AD119" t="s">
        <v>52</v>
      </c>
      <c r="AE119" t="s">
        <v>52</v>
      </c>
    </row>
    <row r="120" spans="1:31" x14ac:dyDescent="0.3">
      <c r="A120" t="s">
        <v>128</v>
      </c>
      <c r="B120">
        <v>0</v>
      </c>
      <c r="C120">
        <v>7.7442831998412025</v>
      </c>
      <c r="D120">
        <v>0</v>
      </c>
      <c r="E120">
        <v>0.57388809182209466</v>
      </c>
      <c r="F120">
        <v>0.64516129032258063</v>
      </c>
      <c r="G120">
        <v>0</v>
      </c>
      <c r="H120">
        <v>0</v>
      </c>
      <c r="I120" t="s">
        <v>52</v>
      </c>
      <c r="J120">
        <v>9.8226461579935282</v>
      </c>
      <c r="K120">
        <v>6.9345870776364116</v>
      </c>
      <c r="L120">
        <v>6.4756163638936668</v>
      </c>
      <c r="M120">
        <v>0</v>
      </c>
      <c r="N120" t="s">
        <v>52</v>
      </c>
      <c r="O120">
        <v>0.57388809182209466</v>
      </c>
      <c r="P120">
        <v>0.64516129032258063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52</v>
      </c>
      <c r="AA120" t="s">
        <v>52</v>
      </c>
      <c r="AB120" t="s">
        <v>52</v>
      </c>
      <c r="AC120" t="s">
        <v>52</v>
      </c>
      <c r="AD120" t="s">
        <v>52</v>
      </c>
      <c r="AE120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3.33203125" customWidth="1"/>
    <col min="2" max="3" width="20.33203125" customWidth="1"/>
    <col min="4" max="4" width="19.44140625" customWidth="1"/>
    <col min="5" max="5" width="22.21875" customWidth="1"/>
    <col min="6" max="6" width="26.88671875" customWidth="1"/>
    <col min="7" max="7" width="38.88671875" customWidth="1"/>
    <col min="8" max="8" width="11.109375" customWidth="1"/>
    <col min="9" max="9" width="24.109375" customWidth="1"/>
  </cols>
  <sheetData>
    <row r="1" spans="1:9" s="4" customFormat="1" x14ac:dyDescent="0.3">
      <c r="A1" t="s">
        <v>53</v>
      </c>
      <c r="B1" t="s">
        <v>2</v>
      </c>
      <c r="C1" t="s">
        <v>3</v>
      </c>
      <c r="D1" s="25" t="s">
        <v>129</v>
      </c>
      <c r="E1" s="25" t="s">
        <v>130</v>
      </c>
      <c r="F1" s="25" t="s">
        <v>131</v>
      </c>
      <c r="G1" s="25" t="s">
        <v>132</v>
      </c>
      <c r="H1" t="s">
        <v>54</v>
      </c>
      <c r="I1" s="5" t="s">
        <v>133</v>
      </c>
    </row>
    <row r="2" spans="1:9" x14ac:dyDescent="0.3">
      <c r="A2" t="s">
        <v>134</v>
      </c>
      <c r="B2" t="s">
        <v>118</v>
      </c>
      <c r="C2" t="s">
        <v>64</v>
      </c>
      <c r="D2" s="8">
        <v>1080.4503790740594</v>
      </c>
      <c r="E2" s="9">
        <v>2.05151215741237</v>
      </c>
      <c r="F2" s="8">
        <v>7293.5426909557955</v>
      </c>
      <c r="G2" s="8">
        <v>496.24067707819029</v>
      </c>
      <c r="H2" s="9">
        <v>0.9989428161247208</v>
      </c>
      <c r="I2" s="18" t="s">
        <v>135</v>
      </c>
    </row>
    <row r="3" spans="1:9" x14ac:dyDescent="0.3">
      <c r="A3" t="s">
        <v>136</v>
      </c>
      <c r="B3" t="s">
        <v>63</v>
      </c>
      <c r="C3" t="s">
        <v>64</v>
      </c>
      <c r="D3" s="8">
        <v>3125.0285309861238</v>
      </c>
      <c r="E3" s="9">
        <v>1.5982087373899585</v>
      </c>
      <c r="F3" s="8">
        <v>2875.0324229764637</v>
      </c>
      <c r="G3" s="8">
        <v>511.78663871348613</v>
      </c>
      <c r="H3" s="9">
        <v>0.9988390343010054</v>
      </c>
      <c r="I3" s="18" t="s">
        <v>135</v>
      </c>
    </row>
    <row r="4" spans="1:9" x14ac:dyDescent="0.3">
      <c r="A4" t="s">
        <v>137</v>
      </c>
      <c r="B4" t="s">
        <v>79</v>
      </c>
      <c r="C4" t="s">
        <v>64</v>
      </c>
      <c r="D4" s="8">
        <v>3216.7451797887466</v>
      </c>
      <c r="E4" s="9">
        <v>1.6215449813138818</v>
      </c>
      <c r="F4" s="8">
        <v>2869.9000544705386</v>
      </c>
      <c r="G4" s="8">
        <v>612.66194736598698</v>
      </c>
      <c r="H4" s="9">
        <v>0.99776569468656151</v>
      </c>
      <c r="I4" s="18" t="s">
        <v>135</v>
      </c>
    </row>
    <row r="5" spans="1:9" x14ac:dyDescent="0.3">
      <c r="A5" t="s">
        <v>138</v>
      </c>
      <c r="B5" t="s">
        <v>91</v>
      </c>
      <c r="C5" t="s">
        <v>64</v>
      </c>
      <c r="D5" s="8">
        <v>3076.6549481282423</v>
      </c>
      <c r="E5" s="9">
        <v>1.6090309427336633</v>
      </c>
      <c r="F5" s="8">
        <v>2714.0510175891891</v>
      </c>
      <c r="G5" s="8">
        <v>377.58796680248918</v>
      </c>
      <c r="H5" s="9">
        <v>0.99689657613476257</v>
      </c>
      <c r="I5" s="18" t="s">
        <v>135</v>
      </c>
    </row>
    <row r="6" spans="1:9" x14ac:dyDescent="0.3">
      <c r="A6" t="s">
        <v>217</v>
      </c>
      <c r="B6" t="s">
        <v>21</v>
      </c>
      <c r="C6" t="s">
        <v>64</v>
      </c>
      <c r="D6" s="8">
        <v>970.34966638476487</v>
      </c>
      <c r="E6" s="9">
        <v>2.7978704427931786</v>
      </c>
      <c r="F6" s="8">
        <v>4863.0832410033827</v>
      </c>
      <c r="G6" s="8">
        <v>240.69914781680205</v>
      </c>
      <c r="H6" s="9">
        <v>0.99868039350154525</v>
      </c>
      <c r="I6" s="18" t="s">
        <v>135</v>
      </c>
    </row>
    <row r="7" spans="1:9" x14ac:dyDescent="0.3">
      <c r="A7" t="s">
        <v>218</v>
      </c>
      <c r="B7" t="s">
        <v>18</v>
      </c>
      <c r="C7" t="s">
        <v>148</v>
      </c>
      <c r="D7" s="8">
        <v>846.83663123030215</v>
      </c>
      <c r="E7" s="9">
        <v>4.9203403698162029</v>
      </c>
      <c r="F7" s="8">
        <v>11622.357676346895</v>
      </c>
      <c r="G7" s="8">
        <v>210.81673018464306</v>
      </c>
      <c r="H7" s="9">
        <v>0.99660866689359162</v>
      </c>
      <c r="I7" s="18" t="s">
        <v>55</v>
      </c>
    </row>
    <row r="8" spans="1:9" x14ac:dyDescent="0.3">
      <c r="A8" t="s">
        <v>219</v>
      </c>
      <c r="B8" t="s">
        <v>17</v>
      </c>
      <c r="C8" t="s">
        <v>148</v>
      </c>
      <c r="D8" s="8">
        <v>858.63821575725865</v>
      </c>
      <c r="E8" s="9">
        <v>4.1106622600208338</v>
      </c>
      <c r="F8" s="8">
        <v>13176.430034713403</v>
      </c>
      <c r="G8" s="8">
        <v>235.86876288892623</v>
      </c>
      <c r="H8" s="9">
        <v>0.99721627057752238</v>
      </c>
      <c r="I8" s="18" t="s">
        <v>135</v>
      </c>
    </row>
    <row r="9" spans="1:9" x14ac:dyDescent="0.3">
      <c r="A9" t="s">
        <v>220</v>
      </c>
      <c r="B9" t="s">
        <v>20</v>
      </c>
      <c r="C9" t="s">
        <v>148</v>
      </c>
      <c r="D9" s="8">
        <v>808.70946110607042</v>
      </c>
      <c r="E9" s="9">
        <v>3.7221733658985783</v>
      </c>
      <c r="F9" s="8">
        <v>13067.751377149461</v>
      </c>
      <c r="G9" s="8">
        <v>246.04645839200685</v>
      </c>
      <c r="H9" s="9">
        <v>0.99847342613877665</v>
      </c>
      <c r="I9" s="18" t="s">
        <v>135</v>
      </c>
    </row>
    <row r="10" spans="1:9" x14ac:dyDescent="0.3">
      <c r="A10" t="s">
        <v>221</v>
      </c>
      <c r="B10" t="s">
        <v>19</v>
      </c>
      <c r="C10" t="s">
        <v>148</v>
      </c>
      <c r="D10" s="8">
        <v>879.37865810612925</v>
      </c>
      <c r="E10" s="9">
        <v>1.7303045392271319</v>
      </c>
      <c r="F10" s="8">
        <v>21135.99067966831</v>
      </c>
      <c r="G10" s="8">
        <v>480.26529035318953</v>
      </c>
      <c r="H10" s="9">
        <v>0.99431577801706206</v>
      </c>
      <c r="I10" s="18" t="s">
        <v>135</v>
      </c>
    </row>
    <row r="11" spans="1:9" x14ac:dyDescent="0.3">
      <c r="A11" t="s">
        <v>222</v>
      </c>
      <c r="B11" t="s">
        <v>15</v>
      </c>
      <c r="C11" t="s">
        <v>148</v>
      </c>
      <c r="D11" s="8">
        <v>1000.0656736245566</v>
      </c>
      <c r="E11" s="9">
        <v>2.7327462397255737</v>
      </c>
      <c r="F11" s="8">
        <v>3343.8321466603302</v>
      </c>
      <c r="G11" s="8">
        <v>86.591276493128873</v>
      </c>
      <c r="H11" s="9">
        <v>0.99998389591200099</v>
      </c>
      <c r="I11" s="18" t="s">
        <v>139</v>
      </c>
    </row>
    <row r="12" spans="1:9" x14ac:dyDescent="0.3">
      <c r="A12" t="s">
        <v>140</v>
      </c>
      <c r="B12" t="s">
        <v>15</v>
      </c>
      <c r="C12" t="s">
        <v>64</v>
      </c>
      <c r="D12" s="8">
        <v>3322.9903332169597</v>
      </c>
      <c r="E12" s="9">
        <v>1.6907736758101493</v>
      </c>
      <c r="F12" s="8">
        <v>10206.652108185954</v>
      </c>
      <c r="G12" s="8">
        <v>1234.7769949199642</v>
      </c>
      <c r="H12" s="9">
        <v>0.99911651481281938</v>
      </c>
      <c r="I12" s="18" t="s">
        <v>141</v>
      </c>
    </row>
  </sheetData>
  <hyperlinks>
    <hyperlink ref="D1" location="Regression!D1" tooltip="Base CPU (idle): Custo mínimo sem carga relevante" display="Base CPU (idle)" xr:uid="{24AE4D66-BE20-46C3-8586-FB35D98D5CEF}"/>
    <hyperlink ref="E1" location="Regression!E1" tooltip="Marginal CPU (L): Custo adicional por TPS em regime estável" display="Marginal CPU (L)" xr:uid="{6C061D19-C5EF-429E-9FF8-EA0EB8E643A4}"/>
    <hyperlink ref="F1" location="Regression!F1" tooltip="Transient overhead (extra): Sobrecusto adicional por TPS predominante em cargas baixas, mas que amortiza com cargas maiores." display="Transient overhead (extra)" xr:uid="{1DEBFAF6-E502-4D12-ABF9-A74FB308D861}"/>
    <hyperlink ref="G1" location="Regression!G1" tooltip="Overhead half-saturation const. (k): Velocidade com que o sobrecusto é amortizado." display="Overhead half-saturation const. (k)" xr:uid="{304B6C62-8EE8-4FF0-8D6F-FE2F66E40E24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C44B-D0FB-40B7-B504-6B8AB76011D6}">
  <dimension ref="A1:BX82"/>
  <sheetViews>
    <sheetView showGridLines="0" zoomScale="70" zoomScaleNormal="70" workbookViewId="0">
      <selection activeCell="B11" sqref="B11"/>
    </sheetView>
  </sheetViews>
  <sheetFormatPr defaultRowHeight="14.4" x14ac:dyDescent="0.3"/>
  <cols>
    <col min="1" max="1" width="32.44140625" customWidth="1"/>
    <col min="2" max="2" width="11.109375" customWidth="1"/>
    <col min="3" max="6" width="28.6640625" customWidth="1"/>
    <col min="31" max="122" width="0" hidden="1" customWidth="1"/>
  </cols>
  <sheetData>
    <row r="1" spans="1:76" x14ac:dyDescent="0.3">
      <c r="A1" s="31" t="s">
        <v>53</v>
      </c>
      <c r="B1" s="31"/>
      <c r="C1" s="26" t="s">
        <v>217</v>
      </c>
      <c r="D1" s="27" t="s">
        <v>140</v>
      </c>
      <c r="AA1" t="s">
        <v>56</v>
      </c>
      <c r="AB1">
        <v>5000</v>
      </c>
      <c r="AE1" t="s">
        <v>9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Q1" t="s">
        <v>9</v>
      </c>
      <c r="AR1" t="s">
        <v>57</v>
      </c>
      <c r="AS1" t="s">
        <v>58</v>
      </c>
      <c r="AT1" t="s">
        <v>9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28</v>
      </c>
      <c r="BB1" t="s">
        <v>29</v>
      </c>
      <c r="BF1" t="s">
        <v>9</v>
      </c>
      <c r="BG1" t="s">
        <v>57</v>
      </c>
      <c r="BH1" t="s">
        <v>58</v>
      </c>
      <c r="BI1" t="s">
        <v>144</v>
      </c>
      <c r="BJ1" t="s">
        <v>145</v>
      </c>
      <c r="BM1" t="s">
        <v>146</v>
      </c>
      <c r="BN1" t="s">
        <v>14</v>
      </c>
      <c r="BO1" t="s">
        <v>147</v>
      </c>
      <c r="BP1" t="s">
        <v>11</v>
      </c>
      <c r="BQ1" t="s">
        <v>144</v>
      </c>
      <c r="BR1" t="s">
        <v>145</v>
      </c>
      <c r="BU1" t="s">
        <v>146</v>
      </c>
      <c r="BV1" t="s">
        <v>14</v>
      </c>
      <c r="BW1" t="s">
        <v>147</v>
      </c>
      <c r="BX1" t="s">
        <v>11</v>
      </c>
    </row>
    <row r="2" spans="1:76" x14ac:dyDescent="0.3">
      <c r="A2" s="30" t="s">
        <v>2</v>
      </c>
      <c r="B2" s="30"/>
      <c r="C2" s="19" t="s">
        <v>21</v>
      </c>
      <c r="D2" s="19" t="s">
        <v>15</v>
      </c>
      <c r="AA2" t="s">
        <v>59</v>
      </c>
      <c r="AB2">
        <v>100</v>
      </c>
      <c r="AE2">
        <v>0.99999833333611099</v>
      </c>
      <c r="AF2">
        <v>10.590481441913299</v>
      </c>
      <c r="AG2">
        <v>214.52233079322531</v>
      </c>
      <c r="AH2">
        <v>241.0588216018707</v>
      </c>
      <c r="AI2">
        <v>257.35023244612341</v>
      </c>
      <c r="AJ2">
        <v>275.0602869545624</v>
      </c>
      <c r="AK2">
        <v>297.27140086338432</v>
      </c>
      <c r="AL2">
        <v>849.85411676122726</v>
      </c>
      <c r="AM2">
        <v>991.29542190435632</v>
      </c>
      <c r="AQ2">
        <v>0.99999833333611099</v>
      </c>
      <c r="AR2">
        <v>26.434999999999999</v>
      </c>
      <c r="AS2">
        <v>11.1760485182007</v>
      </c>
      <c r="AT2">
        <v>1</v>
      </c>
      <c r="AU2">
        <v>5.6651973618798603</v>
      </c>
      <c r="AV2">
        <v>1850.2484304272298</v>
      </c>
      <c r="AW2">
        <v>2027.2794360563178</v>
      </c>
      <c r="AX2">
        <v>2143.4946243615386</v>
      </c>
      <c r="AY2">
        <v>2262.5046968508827</v>
      </c>
      <c r="AZ2">
        <v>2549.1603254243828</v>
      </c>
      <c r="BA2">
        <v>3073.2752099737427</v>
      </c>
      <c r="BB2">
        <v>3254.5691740272077</v>
      </c>
      <c r="BF2">
        <v>1</v>
      </c>
      <c r="BG2">
        <v>36.896666666666697</v>
      </c>
      <c r="BH2">
        <v>10.5075747816235</v>
      </c>
      <c r="BI2">
        <v>0</v>
      </c>
      <c r="BJ2">
        <v>970.34966638476499</v>
      </c>
      <c r="BM2">
        <v>0.99999833333611099</v>
      </c>
      <c r="BN2">
        <v>26.434999999999999</v>
      </c>
      <c r="BO2">
        <v>0.99999833333611099</v>
      </c>
      <c r="BP2">
        <v>11.1760485182007</v>
      </c>
      <c r="BQ2">
        <v>0</v>
      </c>
      <c r="BR2">
        <v>3322.9903332169602</v>
      </c>
      <c r="BU2">
        <v>1</v>
      </c>
      <c r="BV2">
        <v>36.896666666666697</v>
      </c>
      <c r="BW2">
        <v>1</v>
      </c>
      <c r="BX2">
        <v>10.5075747816235</v>
      </c>
    </row>
    <row r="3" spans="1:76" x14ac:dyDescent="0.3">
      <c r="A3" s="30" t="s">
        <v>3</v>
      </c>
      <c r="B3" s="30"/>
      <c r="C3" s="19" t="s">
        <v>64</v>
      </c>
      <c r="D3" s="19" t="s">
        <v>64</v>
      </c>
      <c r="AA3" t="s">
        <v>60</v>
      </c>
      <c r="AB3">
        <v>15</v>
      </c>
      <c r="AE3">
        <v>300.00016666583298</v>
      </c>
      <c r="AF3">
        <v>125.60245381952799</v>
      </c>
      <c r="AG3">
        <v>2260.7277546720679</v>
      </c>
      <c r="AH3">
        <v>3032.396477365462</v>
      </c>
      <c r="AI3">
        <v>3487.4476225636172</v>
      </c>
      <c r="AJ3">
        <v>3811.5037905135414</v>
      </c>
      <c r="AK3">
        <v>3850.7356666351475</v>
      </c>
      <c r="AL3">
        <v>4390.0632144567808</v>
      </c>
      <c r="AM3">
        <v>4562.6729204889189</v>
      </c>
      <c r="AQ3">
        <v>300.00016666583298</v>
      </c>
      <c r="AR3">
        <v>22.009438836450901</v>
      </c>
      <c r="AS3">
        <v>9.5947340158334704</v>
      </c>
      <c r="AT3">
        <v>299.99966666888901</v>
      </c>
      <c r="AU3">
        <v>92.612463390823095</v>
      </c>
      <c r="AV3">
        <v>3206.350224637863</v>
      </c>
      <c r="AW3">
        <v>4072.793939745291</v>
      </c>
      <c r="AX3">
        <v>4532.2861750733682</v>
      </c>
      <c r="AY3">
        <v>4984.2321458990309</v>
      </c>
      <c r="AZ3">
        <v>5294.9394137438176</v>
      </c>
      <c r="BA3">
        <v>5868.8908835830698</v>
      </c>
      <c r="BB3">
        <v>6072.0749360627979</v>
      </c>
      <c r="BF3">
        <v>299.99966666888901</v>
      </c>
      <c r="BG3">
        <v>26.948238601325599</v>
      </c>
      <c r="BH3">
        <v>9.1263693846390002</v>
      </c>
      <c r="BI3">
        <v>62.5</v>
      </c>
      <c r="BJ3">
        <v>2147.6689332934184</v>
      </c>
      <c r="BM3">
        <v>300.00016666583298</v>
      </c>
      <c r="BN3">
        <v>22.009438836450901</v>
      </c>
      <c r="BO3">
        <v>300.00016666583298</v>
      </c>
      <c r="BP3">
        <v>9.5947340158334704</v>
      </c>
      <c r="BQ3">
        <v>62.5</v>
      </c>
      <c r="BR3">
        <v>3920.3981126459321</v>
      </c>
      <c r="BU3">
        <v>299.99966666888901</v>
      </c>
      <c r="BV3">
        <v>26.948238601325599</v>
      </c>
      <c r="BW3">
        <v>299.99966666888901</v>
      </c>
      <c r="BX3">
        <v>9.1263693846390002</v>
      </c>
    </row>
    <row r="4" spans="1:76" x14ac:dyDescent="0.3">
      <c r="A4" s="29" t="s">
        <v>129</v>
      </c>
      <c r="B4" s="30"/>
      <c r="C4" s="19">
        <v>970.34966638476499</v>
      </c>
      <c r="D4" s="19">
        <v>3322.9903332169602</v>
      </c>
      <c r="AA4" t="s">
        <v>61</v>
      </c>
      <c r="AB4">
        <v>25000</v>
      </c>
      <c r="AE4">
        <v>600.00100000166697</v>
      </c>
      <c r="AF4">
        <v>170.013611229264</v>
      </c>
      <c r="AG4">
        <v>2602.7452126845237</v>
      </c>
      <c r="AH4">
        <v>3888.4736035177539</v>
      </c>
      <c r="AI4">
        <v>4621.6045295181239</v>
      </c>
      <c r="AJ4">
        <v>5136.4945264444586</v>
      </c>
      <c r="AK4">
        <v>5173.3741668982311</v>
      </c>
      <c r="AL4">
        <v>5728.539231660633</v>
      </c>
      <c r="AM4">
        <v>5918.9953281653743</v>
      </c>
      <c r="AQ4">
        <v>600.00100000166697</v>
      </c>
      <c r="AR4">
        <v>26.655872998236099</v>
      </c>
      <c r="AS4">
        <v>9.6689447679883305</v>
      </c>
      <c r="AT4">
        <v>599.99833336111101</v>
      </c>
      <c r="AU4">
        <v>145.576299638042</v>
      </c>
      <c r="AV4">
        <v>3889.327014597482</v>
      </c>
      <c r="AW4">
        <v>5162.0030788492022</v>
      </c>
      <c r="AX4">
        <v>5803.1042971197767</v>
      </c>
      <c r="AY4">
        <v>6477.7975596406177</v>
      </c>
      <c r="AZ4">
        <v>6804.174737946375</v>
      </c>
      <c r="BA4">
        <v>7320.6567587593727</v>
      </c>
      <c r="BB4">
        <v>7545.9706461633104</v>
      </c>
      <c r="BF4">
        <v>599.99833336111101</v>
      </c>
      <c r="BG4">
        <v>26.516697314985102</v>
      </c>
      <c r="BH4">
        <v>10.5255480389587</v>
      </c>
      <c r="BI4">
        <v>125</v>
      </c>
      <c r="BJ4">
        <v>2982.3389315960844</v>
      </c>
      <c r="BM4">
        <v>600.00100000166697</v>
      </c>
      <c r="BN4">
        <v>26.655872998236099</v>
      </c>
      <c r="BO4">
        <v>600.00100000166697</v>
      </c>
      <c r="BP4">
        <v>9.6689447679883305</v>
      </c>
      <c r="BQ4">
        <v>125</v>
      </c>
      <c r="BR4">
        <v>4472.6023011066854</v>
      </c>
      <c r="BU4">
        <v>599.99833336111101</v>
      </c>
      <c r="BV4">
        <v>26.516697314985102</v>
      </c>
      <c r="BW4">
        <v>599.99833336111101</v>
      </c>
      <c r="BX4">
        <v>10.5255480389587</v>
      </c>
    </row>
    <row r="5" spans="1:76" x14ac:dyDescent="0.3">
      <c r="A5" s="29" t="s">
        <v>130</v>
      </c>
      <c r="B5" s="30"/>
      <c r="C5" s="19">
        <v>2.79787044279318</v>
      </c>
      <c r="D5" s="19">
        <v>1.6907736758101499</v>
      </c>
      <c r="AE5">
        <v>899.99900000666696</v>
      </c>
      <c r="AF5">
        <v>208.997596576587</v>
      </c>
      <c r="AG5">
        <v>3280.9749418617971</v>
      </c>
      <c r="AH5">
        <v>4963.8398560138066</v>
      </c>
      <c r="AI5">
        <v>5903.1672465158945</v>
      </c>
      <c r="AJ5">
        <v>6609.7181982289758</v>
      </c>
      <c r="AK5">
        <v>6638.0630128961275</v>
      </c>
      <c r="AL5">
        <v>7204.1527611362553</v>
      </c>
      <c r="AM5">
        <v>7403.8332417328584</v>
      </c>
      <c r="AQ5">
        <v>899.99900000666696</v>
      </c>
      <c r="AR5">
        <v>35.243547601543</v>
      </c>
      <c r="AS5">
        <v>10.3009412421506</v>
      </c>
      <c r="AT5">
        <v>899.98900025666103</v>
      </c>
      <c r="AU5">
        <v>187.568080767558</v>
      </c>
      <c r="AV5">
        <v>4670.4686044535783</v>
      </c>
      <c r="AW5">
        <v>6377.3075188287685</v>
      </c>
      <c r="AX5">
        <v>7199.9972098131857</v>
      </c>
      <c r="AY5">
        <v>7999.8059218473691</v>
      </c>
      <c r="AZ5">
        <v>8334.2853682441437</v>
      </c>
      <c r="BA5">
        <v>8897.2893631644438</v>
      </c>
      <c r="BB5">
        <v>9150.0610305116024</v>
      </c>
      <c r="BF5">
        <v>899.98900025666103</v>
      </c>
      <c r="BG5">
        <v>26.0020592706997</v>
      </c>
      <c r="BH5">
        <v>9.5931623092489993</v>
      </c>
      <c r="BI5">
        <v>187.5</v>
      </c>
      <c r="BJ5">
        <v>3624.3990487861488</v>
      </c>
      <c r="BM5">
        <v>899.99900000666696</v>
      </c>
      <c r="BN5">
        <v>35.243547601543</v>
      </c>
      <c r="BO5">
        <v>899.99900000666696</v>
      </c>
      <c r="BP5">
        <v>10.3009412421506</v>
      </c>
      <c r="BQ5">
        <v>187.5</v>
      </c>
      <c r="BR5">
        <v>4985.5621268907662</v>
      </c>
      <c r="BU5">
        <v>899.98900025666103</v>
      </c>
      <c r="BV5">
        <v>26.0020592706997</v>
      </c>
      <c r="BW5">
        <v>899.98900025666103</v>
      </c>
      <c r="BX5">
        <v>9.5931623092489993</v>
      </c>
    </row>
    <row r="6" spans="1:76" x14ac:dyDescent="0.3">
      <c r="A6" s="29" t="s">
        <v>131</v>
      </c>
      <c r="B6" s="30"/>
      <c r="C6" s="19">
        <v>4863.08324100338</v>
      </c>
      <c r="D6" s="19">
        <v>10206.652108185999</v>
      </c>
      <c r="AE6">
        <v>1199.90033731984</v>
      </c>
      <c r="AF6">
        <v>261.27210576015102</v>
      </c>
      <c r="AG6">
        <v>3512.8710131944613</v>
      </c>
      <c r="AH6">
        <v>5695.0637507461115</v>
      </c>
      <c r="AI6">
        <v>6893.8036414391418</v>
      </c>
      <c r="AJ6">
        <v>7840.5917612930398</v>
      </c>
      <c r="AK6">
        <v>7878.7410569858221</v>
      </c>
      <c r="AL6">
        <v>8408.3342889900214</v>
      </c>
      <c r="AM6">
        <v>8613.9973132682971</v>
      </c>
      <c r="AQ6">
        <v>1199.90033731984</v>
      </c>
      <c r="AR6">
        <v>42.681960236348402</v>
      </c>
      <c r="AS6">
        <v>9.4155716955346396</v>
      </c>
      <c r="AT6">
        <v>1199.9960000466699</v>
      </c>
      <c r="AU6">
        <v>229.442818518829</v>
      </c>
      <c r="AV6">
        <v>4834.1654276630989</v>
      </c>
      <c r="AW6">
        <v>6937.0354112157293</v>
      </c>
      <c r="AX6">
        <v>7932.4368049226978</v>
      </c>
      <c r="AY6">
        <v>8980.1467253380779</v>
      </c>
      <c r="AZ6">
        <v>9339.529051636393</v>
      </c>
      <c r="BA6">
        <v>9918.0366295939657</v>
      </c>
      <c r="BB6">
        <v>10180.647353598593</v>
      </c>
      <c r="BF6">
        <v>1199.9960000466699</v>
      </c>
      <c r="BG6">
        <v>26.235484068099801</v>
      </c>
      <c r="BH6">
        <v>9.5909607291029992</v>
      </c>
      <c r="BI6">
        <v>250</v>
      </c>
      <c r="BJ6">
        <v>4147.4470338495048</v>
      </c>
      <c r="BM6">
        <v>1199.90033731984</v>
      </c>
      <c r="BN6">
        <v>42.681960236348402</v>
      </c>
      <c r="BO6">
        <v>1199.90033731984</v>
      </c>
      <c r="BP6">
        <v>9.4155716955346396</v>
      </c>
      <c r="BQ6">
        <v>250</v>
      </c>
      <c r="BR6">
        <v>5464.2334305230825</v>
      </c>
      <c r="BU6">
        <v>1199.9960000466699</v>
      </c>
      <c r="BV6">
        <v>26.235484068099801</v>
      </c>
      <c r="BW6">
        <v>1199.9960000466699</v>
      </c>
      <c r="BX6">
        <v>9.5909607291029992</v>
      </c>
    </row>
    <row r="7" spans="1:76" x14ac:dyDescent="0.3">
      <c r="A7" s="29" t="s">
        <v>132</v>
      </c>
      <c r="B7" s="30"/>
      <c r="C7" s="19">
        <v>240.699147816802</v>
      </c>
      <c r="D7" s="19">
        <v>1234.7769949199601</v>
      </c>
      <c r="AE7">
        <v>1496.93720139586</v>
      </c>
      <c r="AF7">
        <v>305.20732864060699</v>
      </c>
      <c r="AG7">
        <v>3674.9430309317572</v>
      </c>
      <c r="AH7">
        <v>5993.0151914782973</v>
      </c>
      <c r="AI7">
        <v>7404.8405870281968</v>
      </c>
      <c r="AJ7">
        <v>8474.4282114332163</v>
      </c>
      <c r="AK7">
        <v>8503.0995156466342</v>
      </c>
      <c r="AL7">
        <v>9083.5527988404556</v>
      </c>
      <c r="AM7">
        <v>9304.108806700011</v>
      </c>
      <c r="AQ7">
        <v>1496.93720139586</v>
      </c>
      <c r="AR7">
        <v>53.849791944361399</v>
      </c>
      <c r="AS7">
        <v>9.7473749774863006</v>
      </c>
      <c r="AT7">
        <v>1499.9283333333301</v>
      </c>
      <c r="AU7">
        <v>255.21239634965499</v>
      </c>
      <c r="AV7">
        <v>5246.5427531713149</v>
      </c>
      <c r="AW7">
        <v>7748.9747074552342</v>
      </c>
      <c r="AX7">
        <v>8944.505768881505</v>
      </c>
      <c r="AY7">
        <v>10213.375318058805</v>
      </c>
      <c r="AZ7">
        <v>10645.017037576341</v>
      </c>
      <c r="BA7">
        <v>11225.129244401807</v>
      </c>
      <c r="BB7">
        <v>11501.11230694123</v>
      </c>
      <c r="BF7">
        <v>1499.9283333333301</v>
      </c>
      <c r="BG7">
        <v>27.168235109790999</v>
      </c>
      <c r="BH7">
        <v>9.4233297852357403</v>
      </c>
      <c r="BI7">
        <v>312.5</v>
      </c>
      <c r="BJ7">
        <v>4591.8205750523466</v>
      </c>
      <c r="BM7">
        <v>1496.93720139586</v>
      </c>
      <c r="BN7">
        <v>53.849791944361399</v>
      </c>
      <c r="BO7">
        <v>1496.93720139586</v>
      </c>
      <c r="BP7">
        <v>9.7473749774863006</v>
      </c>
      <c r="BQ7">
        <v>312.5</v>
      </c>
      <c r="BR7">
        <v>5912.7713166969534</v>
      </c>
      <c r="BU7">
        <v>1499.9283333333301</v>
      </c>
      <c r="BV7">
        <v>27.168235109790999</v>
      </c>
      <c r="BW7">
        <v>1499.9283333333301</v>
      </c>
      <c r="BX7">
        <v>9.4233297852357403</v>
      </c>
    </row>
    <row r="8" spans="1:76" x14ac:dyDescent="0.3">
      <c r="A8" s="30" t="s">
        <v>54</v>
      </c>
      <c r="B8" s="30"/>
      <c r="C8" s="19">
        <v>0.99868039350154503</v>
      </c>
      <c r="D8" s="19">
        <v>0.99911651481281905</v>
      </c>
      <c r="AE8">
        <v>1794.7743242721201</v>
      </c>
      <c r="AF8">
        <v>347.127532571887</v>
      </c>
      <c r="AG8">
        <v>3977.3296180537372</v>
      </c>
      <c r="AH8">
        <v>6640.186863622097</v>
      </c>
      <c r="AI8">
        <v>8237.3217043430468</v>
      </c>
      <c r="AJ8">
        <v>9474.1812669571173</v>
      </c>
      <c r="AK8">
        <v>9507.1228302096861</v>
      </c>
      <c r="AL8">
        <v>10094.980987133044</v>
      </c>
      <c r="AM8">
        <v>10323.761291197028</v>
      </c>
      <c r="AQ8">
        <v>1794.7743242721201</v>
      </c>
      <c r="AR8">
        <v>61.261687756447799</v>
      </c>
      <c r="AS8">
        <v>8.9613180148957898</v>
      </c>
      <c r="AT8">
        <v>1799.82866980772</v>
      </c>
      <c r="AU8">
        <v>296.80207893454502</v>
      </c>
      <c r="AV8">
        <v>5715.2440749227444</v>
      </c>
      <c r="AW8">
        <v>8518.9360569706751</v>
      </c>
      <c r="AX8">
        <v>9873.0619775082741</v>
      </c>
      <c r="AY8">
        <v>11260.842898687693</v>
      </c>
      <c r="AZ8">
        <v>11639.213463522839</v>
      </c>
      <c r="BA8">
        <v>12208.716365773018</v>
      </c>
      <c r="BB8">
        <v>12500.511418817259</v>
      </c>
      <c r="BF8">
        <v>1799.82866980772</v>
      </c>
      <c r="BG8">
        <v>30.279342599100499</v>
      </c>
      <c r="BH8">
        <v>10.392177845952199</v>
      </c>
      <c r="BI8">
        <v>375</v>
      </c>
      <c r="BJ8">
        <v>4981.4785462637583</v>
      </c>
      <c r="BM8">
        <v>1794.7743242721201</v>
      </c>
      <c r="BN8">
        <v>61.261687756447799</v>
      </c>
      <c r="BO8">
        <v>1794.7743242721201</v>
      </c>
      <c r="BP8">
        <v>8.9613180148957898</v>
      </c>
      <c r="BQ8">
        <v>375</v>
      </c>
      <c r="BR8">
        <v>6334.6855981325798</v>
      </c>
      <c r="BU8">
        <v>1799.82866980772</v>
      </c>
      <c r="BV8">
        <v>30.279342599100499</v>
      </c>
      <c r="BW8">
        <v>1799.82866980772</v>
      </c>
      <c r="BX8">
        <v>10.392177845952199</v>
      </c>
    </row>
    <row r="9" spans="1:76" x14ac:dyDescent="0.3">
      <c r="A9" s="30" t="s">
        <v>133</v>
      </c>
      <c r="B9" s="30"/>
      <c r="C9" s="18" t="s">
        <v>135</v>
      </c>
      <c r="D9" s="18" t="s">
        <v>141</v>
      </c>
      <c r="AE9">
        <v>2097.0865692744301</v>
      </c>
      <c r="AF9">
        <v>388.67634265166402</v>
      </c>
      <c r="AG9">
        <v>4038.153125212204</v>
      </c>
      <c r="AH9">
        <v>7026.6537945960736</v>
      </c>
      <c r="AI9">
        <v>8723.0446440311935</v>
      </c>
      <c r="AJ9">
        <v>10054.977199317613</v>
      </c>
      <c r="AK9">
        <v>10093.33489217983</v>
      </c>
      <c r="AL9">
        <v>10688.43401731678</v>
      </c>
      <c r="AM9">
        <v>10926.640064678306</v>
      </c>
      <c r="AQ9">
        <v>2097.0865692744301</v>
      </c>
      <c r="AR9">
        <v>64.095780146214096</v>
      </c>
      <c r="AS9">
        <v>9.7080150682687893</v>
      </c>
      <c r="AT9">
        <v>2097.1968814472798</v>
      </c>
      <c r="AU9">
        <v>314.9317944554</v>
      </c>
      <c r="AV9">
        <v>5836.0305455915495</v>
      </c>
      <c r="AW9">
        <v>9073.8301086718293</v>
      </c>
      <c r="AX9">
        <v>10563.242798327559</v>
      </c>
      <c r="AY9">
        <v>12087.63192208546</v>
      </c>
      <c r="AZ9">
        <v>12471.024006137923</v>
      </c>
      <c r="BA9">
        <v>13052.072765057466</v>
      </c>
      <c r="BB9">
        <v>13342.911130073451</v>
      </c>
      <c r="BF9">
        <v>2097.1968814472798</v>
      </c>
      <c r="BG9">
        <v>33.258443152243998</v>
      </c>
      <c r="BH9">
        <v>10.6834059959842</v>
      </c>
      <c r="BI9">
        <v>437.5</v>
      </c>
      <c r="BJ9">
        <v>5331.5480224829043</v>
      </c>
      <c r="BM9">
        <v>2097.0865692744301</v>
      </c>
      <c r="BN9">
        <v>64.095780146214096</v>
      </c>
      <c r="BO9">
        <v>2097.0865692744301</v>
      </c>
      <c r="BP9">
        <v>9.7080150682687893</v>
      </c>
      <c r="BQ9">
        <v>437.5</v>
      </c>
      <c r="BR9">
        <v>6732.961381904679</v>
      </c>
      <c r="BU9">
        <v>2097.1968814472798</v>
      </c>
      <c r="BV9">
        <v>33.258443152243998</v>
      </c>
      <c r="BW9">
        <v>2097.1968814472798</v>
      </c>
      <c r="BX9">
        <v>10.6834059959842</v>
      </c>
    </row>
    <row r="10" spans="1:76" x14ac:dyDescent="0.3">
      <c r="A10" s="28" t="s">
        <v>142</v>
      </c>
      <c r="B10" s="20">
        <v>1</v>
      </c>
      <c r="C10" s="22">
        <f>IFERROR((970.349666384765+2.79787044279318*B10+4863.08324100338*B10/(240.699147816802+B10))/1000,"")</f>
        <v>0.99326793561642523</v>
      </c>
      <c r="D10" s="22">
        <f>IFERROR((3322.99033321696+1.69077367581015*B10+10206.652108186*B10/(1234.77699491996+B10))/1000,"")</f>
        <v>3.3329404062244001</v>
      </c>
      <c r="AE10">
        <v>2375.12719030477</v>
      </c>
      <c r="AF10">
        <v>388.03676162884301</v>
      </c>
      <c r="AG10">
        <v>4328.6228897917126</v>
      </c>
      <c r="AH10">
        <v>7672.354103908563</v>
      </c>
      <c r="AI10">
        <v>9722.8489499698826</v>
      </c>
      <c r="AJ10">
        <v>11184.555239278052</v>
      </c>
      <c r="AK10">
        <v>11216.737602430605</v>
      </c>
      <c r="AL10">
        <v>11746.381989525196</v>
      </c>
      <c r="AM10">
        <v>11995.864540757342</v>
      </c>
      <c r="AQ10">
        <v>2375.12719030477</v>
      </c>
      <c r="AR10">
        <v>65.842557815852103</v>
      </c>
      <c r="AS10">
        <v>8.5909132207632108</v>
      </c>
      <c r="AT10">
        <v>2383.73540423029</v>
      </c>
      <c r="AU10">
        <v>352.86134916135899</v>
      </c>
      <c r="AV10">
        <v>5961.1726194080884</v>
      </c>
      <c r="AW10">
        <v>9525.3173025301694</v>
      </c>
      <c r="AX10">
        <v>11257.69668626499</v>
      </c>
      <c r="AY10">
        <v>12825.83507815311</v>
      </c>
      <c r="AZ10">
        <v>13235.740825932442</v>
      </c>
      <c r="BA10">
        <v>13817.165525701292</v>
      </c>
      <c r="BB10">
        <v>14134.613547185643</v>
      </c>
      <c r="BF10">
        <v>2383.73540423029</v>
      </c>
      <c r="BG10">
        <v>38.101793483915202</v>
      </c>
      <c r="BH10">
        <v>9.2900330592109306</v>
      </c>
      <c r="BI10">
        <v>500</v>
      </c>
      <c r="BJ10">
        <v>5652.0504042108223</v>
      </c>
      <c r="BM10">
        <v>2375.12719030477</v>
      </c>
      <c r="BN10">
        <v>65.842557815852103</v>
      </c>
      <c r="BO10">
        <v>2375.12719030477</v>
      </c>
      <c r="BP10">
        <v>8.5909132207632108</v>
      </c>
      <c r="BQ10">
        <v>500</v>
      </c>
      <c r="BR10">
        <v>7110.1535890923806</v>
      </c>
      <c r="BU10">
        <v>2383.73540423029</v>
      </c>
      <c r="BV10">
        <v>38.101793483915202</v>
      </c>
      <c r="BW10">
        <v>2383.73540423029</v>
      </c>
      <c r="BX10">
        <v>9.2900330592109306</v>
      </c>
    </row>
    <row r="11" spans="1:76" x14ac:dyDescent="0.3">
      <c r="A11" s="28" t="s">
        <v>143</v>
      </c>
      <c r="B11" s="21">
        <v>4</v>
      </c>
      <c r="C11" s="23">
        <f>IFERROR(IF((B11*1000)&lt;970.349666384765,"",IF(ABS(2.79787044279318)&lt;0.000000000001,IF(4863.08324100338-((B11*1000)-970.349666384765)&lt;=0,"",((B11*1000)-970.349666384765)*240.699147816802/(4863.08324100338-((B11*1000)-970.349666384765))),MAX(0,(-(2.79787044279318*240.699147816802+4863.08324100338-((B11*1000)-970.349666384765))+SQRT((2.79787044279318*240.699147816802+4863.08324100338-((B11*1000)-970.349666384765))^2+4*2.79787044279318*((B11*1000)-970.349666384765)*240.699147816802))/(2*2.79787044279318)))),"")</f>
        <v>231.22322591308881</v>
      </c>
      <c r="D11" s="23">
        <f>IFERROR(IF((B11*1000)&lt;3322.99033321696,"",IF(ABS(1.69077367581015)&lt;0.000000000001,IF(10206.652108186-((B11*1000)-3322.99033321696)&lt;=0,"",((B11*1000)-3322.99033321696)*1234.77699491996/(10206.652108186-((B11*1000)-3322.99033321696))),MAX(0,(-(1.69077367581015*1234.77699491996+10206.652108186-((B11*1000)-3322.99033321696))+SQRT((1.69077367581015*1234.77699491996+10206.652108186-((B11*1000)-3322.99033321696))^2+4*1.69077367581015*((B11*1000)-3322.99033321696)*1234.77699491996))/(2*1.69077367581015)))),"")</f>
        <v>71.219217091528066</v>
      </c>
      <c r="AE11">
        <v>2650.6684750371601</v>
      </c>
      <c r="AF11">
        <v>404.38215588160398</v>
      </c>
      <c r="AG11">
        <v>4423.8737975670438</v>
      </c>
      <c r="AH11">
        <v>8213.5872373660841</v>
      </c>
      <c r="AI11">
        <v>10402.841894318433</v>
      </c>
      <c r="AJ11">
        <v>12106.221232515414</v>
      </c>
      <c r="AK11">
        <v>12135.156902775963</v>
      </c>
      <c r="AL11">
        <v>12671.098780613564</v>
      </c>
      <c r="AM11">
        <v>12929.299588519714</v>
      </c>
      <c r="AQ11">
        <v>2650.6684750371601</v>
      </c>
      <c r="AR11">
        <v>74.799104386782204</v>
      </c>
      <c r="AS11">
        <v>9.7545152579948304</v>
      </c>
      <c r="AT11">
        <v>2658.0673155783302</v>
      </c>
      <c r="AU11">
        <v>357.56141842552898</v>
      </c>
      <c r="AV11">
        <v>5971.9071520498792</v>
      </c>
      <c r="AW11">
        <v>9801.9734164327692</v>
      </c>
      <c r="AX11">
        <v>11521.204963200369</v>
      </c>
      <c r="AY11">
        <v>13322.363914935409</v>
      </c>
      <c r="AZ11">
        <v>13723.304560999532</v>
      </c>
      <c r="BA11">
        <v>14307.187699740763</v>
      </c>
      <c r="BB11">
        <v>14635.265060571252</v>
      </c>
      <c r="BF11">
        <v>2658.0673155783302</v>
      </c>
      <c r="BG11">
        <v>43.298047977113001</v>
      </c>
      <c r="BH11">
        <v>10.8412939881838</v>
      </c>
      <c r="BI11">
        <v>562.5</v>
      </c>
      <c r="BJ11">
        <v>5949.8878778257895</v>
      </c>
      <c r="BM11">
        <v>2650.6684750371601</v>
      </c>
      <c r="BN11">
        <v>74.799104386782204</v>
      </c>
      <c r="BO11">
        <v>2650.6684750371601</v>
      </c>
      <c r="BP11">
        <v>9.7545152579948304</v>
      </c>
      <c r="BQ11">
        <v>562.5</v>
      </c>
      <c r="BR11">
        <v>7468.4617530012065</v>
      </c>
      <c r="BU11">
        <v>2658.0673155783302</v>
      </c>
      <c r="BV11">
        <v>43.298047977113001</v>
      </c>
      <c r="BW11">
        <v>2658.0673155783302</v>
      </c>
      <c r="BX11">
        <v>10.8412939881838</v>
      </c>
    </row>
    <row r="12" spans="1:76" x14ac:dyDescent="0.3">
      <c r="AE12">
        <v>2944.0462936419599</v>
      </c>
      <c r="AF12">
        <v>449.66486309231101</v>
      </c>
      <c r="AG12">
        <v>4638.5520382404611</v>
      </c>
      <c r="AH12">
        <v>8796.8425134996105</v>
      </c>
      <c r="AI12">
        <v>11052.35334806311</v>
      </c>
      <c r="AJ12">
        <v>12927.91476874683</v>
      </c>
      <c r="AK12">
        <v>12956.563809013642</v>
      </c>
      <c r="AL12">
        <v>13492.975392511547</v>
      </c>
      <c r="AM12">
        <v>13761.022083672982</v>
      </c>
      <c r="AQ12">
        <v>2944.0462936419599</v>
      </c>
      <c r="AR12">
        <v>78.564892343481503</v>
      </c>
      <c r="AS12">
        <v>9.8080102816541093</v>
      </c>
      <c r="AT12">
        <v>2934.9543145070702</v>
      </c>
      <c r="AU12">
        <v>402.48175707362799</v>
      </c>
      <c r="AV12">
        <v>6092.236985725468</v>
      </c>
      <c r="AW12">
        <v>10261.797079730957</v>
      </c>
      <c r="AX12">
        <v>12274.368591195198</v>
      </c>
      <c r="AY12">
        <v>14256.632397650457</v>
      </c>
      <c r="AZ12">
        <v>14674.645466000111</v>
      </c>
      <c r="BA12">
        <v>15223.220248801736</v>
      </c>
      <c r="BB12">
        <v>15549.704310548599</v>
      </c>
      <c r="BF12">
        <v>2934.9543145070702</v>
      </c>
      <c r="BG12">
        <v>45.585986712826397</v>
      </c>
      <c r="BH12">
        <v>10.1721957829897</v>
      </c>
      <c r="BI12">
        <v>625</v>
      </c>
      <c r="BJ12">
        <v>6229.969389214948</v>
      </c>
      <c r="BM12">
        <v>2944.0462936419599</v>
      </c>
      <c r="BN12">
        <v>78.564892343481503</v>
      </c>
      <c r="BO12">
        <v>2944.0462936419599</v>
      </c>
      <c r="BP12">
        <v>9.8080102816541093</v>
      </c>
      <c r="BQ12">
        <v>625</v>
      </c>
      <c r="BR12">
        <v>7809.7897352900873</v>
      </c>
      <c r="BU12">
        <v>2934.9543145070702</v>
      </c>
      <c r="BV12">
        <v>45.585986712826397</v>
      </c>
      <c r="BW12">
        <v>2934.9543145070702</v>
      </c>
      <c r="BX12">
        <v>10.1721957829897</v>
      </c>
    </row>
    <row r="13" spans="1:76" x14ac:dyDescent="0.3">
      <c r="AT13">
        <v>3182.3625180262502</v>
      </c>
      <c r="AU13">
        <v>399.26685721709902</v>
      </c>
      <c r="AV13">
        <v>6172.7275801768292</v>
      </c>
      <c r="AW13">
        <v>10751.291713934388</v>
      </c>
      <c r="AX13">
        <v>12648.179808213948</v>
      </c>
      <c r="AY13">
        <v>14738.426587078258</v>
      </c>
      <c r="AZ13">
        <v>15165.708239102871</v>
      </c>
      <c r="BA13">
        <v>15668.180556462941</v>
      </c>
      <c r="BB13">
        <v>16008.221179230699</v>
      </c>
      <c r="BF13">
        <v>3182.3625180262502</v>
      </c>
      <c r="BG13">
        <v>49.969192602740499</v>
      </c>
      <c r="BH13">
        <v>9.9055366430771503</v>
      </c>
      <c r="BI13">
        <v>687.5</v>
      </c>
      <c r="BJ13">
        <v>6495.8817149069891</v>
      </c>
      <c r="BQ13">
        <v>687.5</v>
      </c>
      <c r="BR13">
        <v>8135.7937926078594</v>
      </c>
      <c r="BU13">
        <v>3182.3625180262502</v>
      </c>
      <c r="BV13">
        <v>49.969192602740499</v>
      </c>
      <c r="BW13">
        <v>3182.3625180262502</v>
      </c>
      <c r="BX13">
        <v>9.9055366430771503</v>
      </c>
    </row>
    <row r="14" spans="1:76" x14ac:dyDescent="0.3">
      <c r="AT14">
        <v>3433.2445005976001</v>
      </c>
      <c r="AU14">
        <v>434.31385303384502</v>
      </c>
      <c r="AV14">
        <v>6322.3738157093749</v>
      </c>
      <c r="AW14">
        <v>10888.819258194584</v>
      </c>
      <c r="AX14">
        <v>13114.931677157223</v>
      </c>
      <c r="AY14">
        <v>15289.431388862013</v>
      </c>
      <c r="AZ14">
        <v>15715.195884722625</v>
      </c>
      <c r="BA14">
        <v>16253.678047322634</v>
      </c>
      <c r="BB14">
        <v>16605.731056868859</v>
      </c>
      <c r="BF14">
        <v>3433.2445005976001</v>
      </c>
      <c r="BG14">
        <v>51.461435345681203</v>
      </c>
      <c r="BH14">
        <v>9.6539941057404892</v>
      </c>
      <c r="BI14">
        <v>750</v>
      </c>
      <c r="BJ14">
        <v>6750.3065189813296</v>
      </c>
      <c r="BQ14">
        <v>750</v>
      </c>
      <c r="BR14">
        <v>8447.9215616106485</v>
      </c>
      <c r="BU14">
        <v>3433.2445005976001</v>
      </c>
      <c r="BV14">
        <v>51.461435345681203</v>
      </c>
      <c r="BW14">
        <v>3433.2445005976001</v>
      </c>
      <c r="BX14">
        <v>9.6539941057404892</v>
      </c>
    </row>
    <row r="15" spans="1:76" x14ac:dyDescent="0.3">
      <c r="AT15">
        <v>3818.89137606032</v>
      </c>
      <c r="AU15">
        <v>461.39097262829603</v>
      </c>
      <c r="AV15">
        <v>6519.6893479059563</v>
      </c>
      <c r="AW15">
        <v>11537.256197058387</v>
      </c>
      <c r="AX15">
        <v>13948.950631989606</v>
      </c>
      <c r="AY15">
        <v>16352.771777965047</v>
      </c>
      <c r="AZ15">
        <v>16805.526692008341</v>
      </c>
      <c r="BA15">
        <v>17360.603596408582</v>
      </c>
      <c r="BB15">
        <v>17720.614673732631</v>
      </c>
      <c r="BF15">
        <v>3818.89137606032</v>
      </c>
      <c r="BG15">
        <v>53.601333715570298</v>
      </c>
      <c r="BH15">
        <v>10.2830283149208</v>
      </c>
      <c r="BI15">
        <v>812.5</v>
      </c>
      <c r="BJ15">
        <v>6995.2889135212663</v>
      </c>
      <c r="BQ15">
        <v>812.5</v>
      </c>
      <c r="BR15">
        <v>8747.4439030884278</v>
      </c>
      <c r="BU15">
        <v>3818.89137606032</v>
      </c>
      <c r="BV15">
        <v>53.601333715570298</v>
      </c>
      <c r="BW15">
        <v>3818.89137606032</v>
      </c>
      <c r="BX15">
        <v>10.2830283149208</v>
      </c>
    </row>
    <row r="16" spans="1:76" x14ac:dyDescent="0.3">
      <c r="AT16">
        <v>4356.0486370817798</v>
      </c>
      <c r="AU16">
        <v>488.27140319715897</v>
      </c>
      <c r="AV16">
        <v>6334.5156908311392</v>
      </c>
      <c r="AW16">
        <v>11991.063010148669</v>
      </c>
      <c r="AX16">
        <v>14491.929638917909</v>
      </c>
      <c r="AY16">
        <v>17052.83379971539</v>
      </c>
      <c r="AZ16">
        <v>17510.546202521004</v>
      </c>
      <c r="BA16">
        <v>18110.252867865354</v>
      </c>
      <c r="BB16">
        <v>18489.266620444083</v>
      </c>
      <c r="BF16">
        <v>4356.0486370817798</v>
      </c>
      <c r="BG16">
        <v>56.939752856179297</v>
      </c>
      <c r="BH16">
        <v>9.6113687430992307</v>
      </c>
      <c r="BI16">
        <v>875</v>
      </c>
      <c r="BJ16">
        <v>7232.4157526452827</v>
      </c>
      <c r="BQ16">
        <v>875</v>
      </c>
      <c r="BR16">
        <v>9035.4810859921963</v>
      </c>
      <c r="BU16">
        <v>4356.0486370817798</v>
      </c>
      <c r="BV16">
        <v>56.939752856179297</v>
      </c>
      <c r="BW16">
        <v>4356.0486370817798</v>
      </c>
      <c r="BX16">
        <v>9.6113687430992307</v>
      </c>
    </row>
    <row r="17" spans="61:70" x14ac:dyDescent="0.3">
      <c r="BI17">
        <v>937.5</v>
      </c>
      <c r="BJ17">
        <v>7462.9371786940974</v>
      </c>
      <c r="BQ17">
        <v>937.5</v>
      </c>
      <c r="BR17">
        <v>9313.0244513146827</v>
      </c>
    </row>
    <row r="18" spans="61:70" x14ac:dyDescent="0.3">
      <c r="BI18">
        <v>1000</v>
      </c>
      <c r="BJ18">
        <v>7687.8514312117441</v>
      </c>
      <c r="BQ18">
        <v>1000</v>
      </c>
      <c r="BR18">
        <v>9580.9544407290232</v>
      </c>
    </row>
    <row r="19" spans="61:70" x14ac:dyDescent="0.3">
      <c r="BI19">
        <v>1062.5</v>
      </c>
      <c r="BJ19">
        <v>7907.9652518530629</v>
      </c>
      <c r="BQ19">
        <v>1062.5</v>
      </c>
      <c r="BR19">
        <v>9840.0556822912877</v>
      </c>
    </row>
    <row r="20" spans="61:70" x14ac:dyDescent="0.3">
      <c r="BI20">
        <v>1125</v>
      </c>
      <c r="BJ20">
        <v>8123.9377030317992</v>
      </c>
      <c r="BQ20">
        <v>1125</v>
      </c>
      <c r="BR20">
        <v>10091.029678823914</v>
      </c>
    </row>
    <row r="21" spans="61:70" x14ac:dyDescent="0.3">
      <c r="BI21">
        <v>1187.5</v>
      </c>
      <c r="BJ21">
        <v>8336.3124811753187</v>
      </c>
      <c r="BQ21">
        <v>1187.5</v>
      </c>
      <c r="BR21">
        <v>10334.505531972278</v>
      </c>
    </row>
    <row r="22" spans="61:70" x14ac:dyDescent="0.3">
      <c r="BI22">
        <v>1250</v>
      </c>
      <c r="BJ22">
        <v>8545.5421012629795</v>
      </c>
      <c r="BQ22">
        <v>1250</v>
      </c>
      <c r="BR22">
        <v>10571.049047797615</v>
      </c>
    </row>
    <row r="23" spans="61:70" x14ac:dyDescent="0.3">
      <c r="BI23">
        <v>1312.5</v>
      </c>
      <c r="BJ23">
        <v>8752.0062423181062</v>
      </c>
      <c r="BQ23">
        <v>1312.5</v>
      </c>
      <c r="BR23">
        <v>10801.170501880737</v>
      </c>
    </row>
    <row r="24" spans="61:70" x14ac:dyDescent="0.3">
      <c r="BI24">
        <v>1375</v>
      </c>
      <c r="BJ24">
        <v>8956.0258349541145</v>
      </c>
      <c r="BQ24">
        <v>1375</v>
      </c>
      <c r="BR24">
        <v>11025.331288654583</v>
      </c>
    </row>
    <row r="25" spans="61:70" x14ac:dyDescent="0.3">
      <c r="BI25">
        <v>1437.5</v>
      </c>
      <c r="BJ25">
        <v>9157.8740010047113</v>
      </c>
      <c r="BQ25">
        <v>1437.5</v>
      </c>
      <c r="BR25">
        <v>11243.949637637503</v>
      </c>
    </row>
    <row r="26" spans="61:70" x14ac:dyDescent="0.3">
      <c r="BI26">
        <v>1500</v>
      </c>
      <c r="BJ26">
        <v>9357.784636422155</v>
      </c>
      <c r="BQ26">
        <v>1500</v>
      </c>
      <c r="BR26">
        <v>11457.405545841222</v>
      </c>
    </row>
    <row r="27" spans="61:70" x14ac:dyDescent="0.3">
      <c r="BI27">
        <v>1562.5</v>
      </c>
      <c r="BJ27">
        <v>9555.9592092440453</v>
      </c>
      <c r="BQ27">
        <v>1562.5</v>
      </c>
      <c r="BR27">
        <v>11666.045048945383</v>
      </c>
    </row>
    <row r="28" spans="61:70" x14ac:dyDescent="0.3">
      <c r="BI28">
        <v>1625</v>
      </c>
      <c r="BJ28">
        <v>9752.5721911889577</v>
      </c>
      <c r="BQ28">
        <v>1625</v>
      </c>
      <c r="BR28">
        <v>11870.183932396823</v>
      </c>
    </row>
    <row r="29" spans="61:70" x14ac:dyDescent="0.3">
      <c r="BI29">
        <v>1687.5</v>
      </c>
      <c r="BJ29">
        <v>9947.7754329045638</v>
      </c>
      <c r="BQ29">
        <v>1687.5</v>
      </c>
      <c r="BR29">
        <v>12070.110966283499</v>
      </c>
    </row>
    <row r="30" spans="61:70" x14ac:dyDescent="0.3">
      <c r="BI30">
        <v>1750</v>
      </c>
      <c r="BJ30">
        <v>10141.701715023881</v>
      </c>
      <c r="BQ30">
        <v>1750</v>
      </c>
      <c r="BR30">
        <v>12266.090733786918</v>
      </c>
    </row>
    <row r="31" spans="61:70" x14ac:dyDescent="0.3">
      <c r="BI31">
        <v>1812.5</v>
      </c>
      <c r="BJ31">
        <v>10334.4676506502</v>
      </c>
      <c r="BQ31">
        <v>1812.5</v>
      </c>
      <c r="BR31">
        <v>12458.36611156322</v>
      </c>
    </row>
    <row r="32" spans="61:70" x14ac:dyDescent="0.3">
      <c r="BI32">
        <v>1875</v>
      </c>
      <c r="BJ32">
        <v>10526.176073387092</v>
      </c>
      <c r="BQ32">
        <v>1875</v>
      </c>
      <c r="BR32">
        <v>12647.160451021515</v>
      </c>
    </row>
    <row r="33" spans="61:70" x14ac:dyDescent="0.3">
      <c r="BI33">
        <v>1937.5</v>
      </c>
      <c r="BJ33">
        <v>10716.918014243804</v>
      </c>
      <c r="BQ33">
        <v>1937.5</v>
      </c>
      <c r="BR33">
        <v>12832.679501749775</v>
      </c>
    </row>
    <row r="34" spans="61:70" x14ac:dyDescent="0.3">
      <c r="BI34">
        <v>2000</v>
      </c>
      <c r="BJ34">
        <v>10906.774347688784</v>
      </c>
      <c r="BQ34">
        <v>2000</v>
      </c>
      <c r="BR34">
        <v>13015.113111962521</v>
      </c>
    </row>
    <row r="35" spans="61:70" x14ac:dyDescent="0.3">
      <c r="BI35">
        <v>2062.5</v>
      </c>
      <c r="BJ35">
        <v>11095.817169697691</v>
      </c>
      <c r="BQ35">
        <v>2062.5</v>
      </c>
      <c r="BR35">
        <v>13194.636735556278</v>
      </c>
    </row>
    <row r="36" spans="61:70" x14ac:dyDescent="0.3">
      <c r="BI36">
        <v>2125</v>
      </c>
      <c r="BJ36">
        <v>11284.110957359426</v>
      </c>
      <c r="BQ36">
        <v>2125</v>
      </c>
      <c r="BR36">
        <v>13371.412770955667</v>
      </c>
    </row>
    <row r="37" spans="61:70" x14ac:dyDescent="0.3">
      <c r="BI37">
        <v>2187.5</v>
      </c>
      <c r="BJ37">
        <v>11471.713549397893</v>
      </c>
      <c r="BQ37">
        <v>2187.5</v>
      </c>
      <c r="BR37">
        <v>13545.591753253902</v>
      </c>
    </row>
    <row r="38" spans="61:70" x14ac:dyDescent="0.3">
      <c r="BI38">
        <v>2250</v>
      </c>
      <c r="BJ38">
        <v>11658.676979066277</v>
      </c>
      <c r="BQ38">
        <v>2250</v>
      </c>
      <c r="BR38">
        <v>13717.313418065973</v>
      </c>
    </row>
    <row r="39" spans="61:70" x14ac:dyDescent="0.3">
      <c r="BI39">
        <v>2312.5</v>
      </c>
      <c r="BJ39">
        <v>11845.048184710331</v>
      </c>
      <c r="BQ39">
        <v>2312.5</v>
      </c>
      <c r="BR39">
        <v>13886.707652916672</v>
      </c>
    </row>
    <row r="40" spans="61:70" x14ac:dyDescent="0.3">
      <c r="BI40">
        <v>2375</v>
      </c>
      <c r="BJ40">
        <v>12030.869618461704</v>
      </c>
      <c r="BQ40">
        <v>2375</v>
      </c>
      <c r="BR40">
        <v>14053.895349794177</v>
      </c>
    </row>
    <row r="41" spans="61:70" x14ac:dyDescent="0.3">
      <c r="BI41">
        <v>2437.5</v>
      </c>
      <c r="BJ41">
        <v>12216.179769702321</v>
      </c>
      <c r="BQ41">
        <v>2437.5</v>
      </c>
      <c r="BR41">
        <v>14218.989170643792</v>
      </c>
    </row>
    <row r="42" spans="61:70" x14ac:dyDescent="0.3">
      <c r="BI42">
        <v>2500</v>
      </c>
      <c r="BJ42">
        <v>12401.013616905044</v>
      </c>
      <c r="BQ42">
        <v>2500</v>
      </c>
      <c r="BR42">
        <v>14382.094236000366</v>
      </c>
    </row>
    <row r="43" spans="61:70" x14ac:dyDescent="0.3">
      <c r="BI43">
        <v>2562.5</v>
      </c>
      <c r="BJ43">
        <v>12585.403019029012</v>
      </c>
      <c r="BQ43">
        <v>2562.5</v>
      </c>
      <c r="BR43">
        <v>14543.308745614784</v>
      </c>
    </row>
    <row r="44" spans="61:70" x14ac:dyDescent="0.3">
      <c r="BI44">
        <v>2625</v>
      </c>
      <c r="BJ44">
        <v>12769.377055697718</v>
      </c>
      <c r="BQ44">
        <v>2625</v>
      </c>
      <c r="BR44">
        <v>14702.724538782975</v>
      </c>
    </row>
    <row r="45" spans="61:70" x14ac:dyDescent="0.3">
      <c r="BI45">
        <v>2687.5</v>
      </c>
      <c r="BJ45">
        <v>12952.962323812171</v>
      </c>
      <c r="BQ45">
        <v>2687.5</v>
      </c>
      <c r="BR45">
        <v>14860.427601103125</v>
      </c>
    </row>
    <row r="46" spans="61:70" x14ac:dyDescent="0.3">
      <c r="BI46">
        <v>2750</v>
      </c>
      <c r="BJ46">
        <v>13136.183196972092</v>
      </c>
      <c r="BQ46">
        <v>2750</v>
      </c>
      <c r="BR46">
        <v>15016.498523542914</v>
      </c>
    </row>
    <row r="47" spans="61:70" x14ac:dyDescent="0.3">
      <c r="BI47">
        <v>2812.5</v>
      </c>
      <c r="BJ47">
        <v>13319.0620530345</v>
      </c>
      <c r="BQ47">
        <v>2812.5</v>
      </c>
      <c r="BR47">
        <v>15171.012918971921</v>
      </c>
    </row>
    <row r="48" spans="61:70" x14ac:dyDescent="0.3">
      <c r="BI48">
        <v>2875</v>
      </c>
      <c r="BJ48">
        <v>13501.619474283736</v>
      </c>
      <c r="BQ48">
        <v>2875</v>
      </c>
      <c r="BR48">
        <v>15324.041800687191</v>
      </c>
    </row>
    <row r="49" spans="61:70" x14ac:dyDescent="0.3">
      <c r="BI49">
        <v>2937.5</v>
      </c>
      <c r="BJ49">
        <v>13683.874423983165</v>
      </c>
      <c r="BQ49">
        <v>2937.5</v>
      </c>
      <c r="BR49">
        <v>15475.651926917302</v>
      </c>
    </row>
    <row r="50" spans="61:70" x14ac:dyDescent="0.3">
      <c r="BI50">
        <v>3000</v>
      </c>
      <c r="BJ50">
        <v>13865.844402497059</v>
      </c>
      <c r="BQ50">
        <v>3000</v>
      </c>
      <c r="BR50">
        <v>15625.906114819758</v>
      </c>
    </row>
    <row r="51" spans="61:70" x14ac:dyDescent="0.3">
      <c r="BI51">
        <v>3062.5</v>
      </c>
      <c r="BJ51">
        <v>14047.545585688549</v>
      </c>
      <c r="BQ51">
        <v>3062.5</v>
      </c>
      <c r="BR51">
        <v>15774.86352707751</v>
      </c>
    </row>
    <row r="52" spans="61:70" x14ac:dyDescent="0.3">
      <c r="BI52">
        <v>3125</v>
      </c>
      <c r="BJ52">
        <v>14228.992947897503</v>
      </c>
      <c r="BQ52">
        <v>3125</v>
      </c>
      <c r="BR52">
        <v>15922.579933844328</v>
      </c>
    </row>
    <row r="53" spans="61:70" x14ac:dyDescent="0.3">
      <c r="BI53">
        <v>3187.5</v>
      </c>
      <c r="BJ53">
        <v>14410.200371466277</v>
      </c>
      <c r="BQ53">
        <v>3187.5</v>
      </c>
      <c r="BR53">
        <v>16069.107952477698</v>
      </c>
    </row>
    <row r="54" spans="61:70" x14ac:dyDescent="0.3">
      <c r="BI54">
        <v>3250</v>
      </c>
      <c r="BJ54">
        <v>14591.180744499265</v>
      </c>
      <c r="BQ54">
        <v>3250</v>
      </c>
      <c r="BR54">
        <v>16214.497267226194</v>
      </c>
    </row>
    <row r="55" spans="61:70" x14ac:dyDescent="0.3">
      <c r="BI55">
        <v>3312.5</v>
      </c>
      <c r="BJ55">
        <v>14771.946048305055</v>
      </c>
      <c r="BQ55">
        <v>3312.5</v>
      </c>
      <c r="BR55">
        <v>16358.794830799903</v>
      </c>
    </row>
    <row r="56" spans="61:70" x14ac:dyDescent="0.3">
      <c r="BI56">
        <v>3375</v>
      </c>
      <c r="BJ56">
        <v>14952.507435769563</v>
      </c>
      <c r="BQ56">
        <v>3375</v>
      </c>
      <c r="BR56">
        <v>16502.045049543311</v>
      </c>
    </row>
    <row r="57" spans="61:70" x14ac:dyDescent="0.3">
      <c r="BI57">
        <v>3437.5</v>
      </c>
      <c r="BJ57">
        <v>15132.875301738866</v>
      </c>
      <c r="BQ57">
        <v>3437.5</v>
      </c>
      <c r="BR57">
        <v>16644.289953746134</v>
      </c>
    </row>
    <row r="58" spans="61:70" x14ac:dyDescent="0.3">
      <c r="BI58">
        <v>3500</v>
      </c>
      <c r="BJ58">
        <v>15313.059346346261</v>
      </c>
      <c r="BQ58">
        <v>3500</v>
      </c>
      <c r="BR58">
        <v>16785.569354465268</v>
      </c>
    </row>
    <row r="59" spans="61:70" x14ac:dyDescent="0.3">
      <c r="BI59">
        <v>3562.5</v>
      </c>
      <c r="BJ59">
        <v>15493.068632095188</v>
      </c>
      <c r="BQ59">
        <v>3562.5</v>
      </c>
      <c r="BR59">
        <v>16925.920988088117</v>
      </c>
    </row>
    <row r="60" spans="61:70" x14ac:dyDescent="0.3">
      <c r="BI60">
        <v>3625</v>
      </c>
      <c r="BJ60">
        <v>15672.911635404713</v>
      </c>
      <c r="BQ60">
        <v>3625</v>
      </c>
      <c r="BR60">
        <v>17065.38064974083</v>
      </c>
    </row>
    <row r="61" spans="61:70" x14ac:dyDescent="0.3">
      <c r="BI61">
        <v>3687.5</v>
      </c>
      <c r="BJ61">
        <v>15852.596293234295</v>
      </c>
      <c r="BQ61">
        <v>3687.5</v>
      </c>
      <c r="BR61">
        <v>17203.9823165329</v>
      </c>
    </row>
    <row r="62" spans="61:70" x14ac:dyDescent="0.3">
      <c r="BI62">
        <v>3750</v>
      </c>
      <c r="BJ62">
        <v>16032.130045327296</v>
      </c>
      <c r="BQ62">
        <v>3750</v>
      </c>
      <c r="BR62">
        <v>17341.758261530202</v>
      </c>
    </row>
    <row r="63" spans="61:70" x14ac:dyDescent="0.3">
      <c r="BI63">
        <v>3812.5</v>
      </c>
      <c r="BJ63">
        <v>16211.519872546132</v>
      </c>
      <c r="BQ63">
        <v>3812.5</v>
      </c>
      <c r="BR63">
        <v>17478.739159260153</v>
      </c>
    </row>
    <row r="64" spans="61:70" x14ac:dyDescent="0.3">
      <c r="BI64">
        <v>3875</v>
      </c>
      <c r="BJ64">
        <v>16390.772331714557</v>
      </c>
      <c r="BQ64">
        <v>3875</v>
      </c>
      <c r="BR64">
        <v>17614.954183473921</v>
      </c>
    </row>
    <row r="65" spans="61:70" x14ac:dyDescent="0.3">
      <c r="BI65">
        <v>3937.5</v>
      </c>
      <c r="BJ65">
        <v>16569.893587332757</v>
      </c>
      <c r="BQ65">
        <v>3937.5</v>
      </c>
      <c r="BR65">
        <v>17750.431097820765</v>
      </c>
    </row>
    <row r="66" spans="61:70" x14ac:dyDescent="0.3">
      <c r="BI66">
        <v>4000</v>
      </c>
      <c r="BJ66">
        <v>16748.889440487961</v>
      </c>
      <c r="BQ66">
        <v>4000</v>
      </c>
      <c r="BR66">
        <v>17885.196340026709</v>
      </c>
    </row>
    <row r="67" spans="61:70" x14ac:dyDescent="0.3">
      <c r="BI67">
        <v>4062.5</v>
      </c>
      <c r="BJ67">
        <v>16927.765355245632</v>
      </c>
      <c r="BQ67">
        <v>4062.5</v>
      </c>
      <c r="BR67">
        <v>18019.275100114202</v>
      </c>
    </row>
    <row r="68" spans="61:70" x14ac:dyDescent="0.3">
      <c r="BI68">
        <v>4125</v>
      </c>
      <c r="BJ68">
        <v>17106.526482773712</v>
      </c>
      <c r="BQ68">
        <v>4125</v>
      </c>
      <c r="BR68">
        <v>18152.691393149056</v>
      </c>
    </row>
    <row r="69" spans="61:70" x14ac:dyDescent="0.3">
      <c r="BI69">
        <v>4187.5</v>
      </c>
      <c r="BJ69">
        <v>17285.177683423972</v>
      </c>
      <c r="BQ69">
        <v>4187.5</v>
      </c>
      <c r="BR69">
        <v>18285.468126956232</v>
      </c>
    </row>
    <row r="70" spans="61:70" x14ac:dyDescent="0.3">
      <c r="BI70">
        <v>4250</v>
      </c>
      <c r="BJ70">
        <v>17463.723546969384</v>
      </c>
      <c r="BQ70">
        <v>4250</v>
      </c>
      <c r="BR70">
        <v>18417.627165205915</v>
      </c>
    </row>
    <row r="71" spans="61:70" x14ac:dyDescent="0.3">
      <c r="BI71">
        <v>4312.5</v>
      </c>
      <c r="BJ71">
        <v>17642.168411174793</v>
      </c>
      <c r="BQ71">
        <v>4312.5</v>
      </c>
      <c r="BR71">
        <v>18549.189386234822</v>
      </c>
    </row>
    <row r="72" spans="61:70" x14ac:dyDescent="0.3">
      <c r="BI72">
        <v>4375</v>
      </c>
      <c r="BJ72">
        <v>17820.516378858778</v>
      </c>
      <c r="BQ72">
        <v>4375</v>
      </c>
      <c r="BR72">
        <v>18680.174737935547</v>
      </c>
    </row>
    <row r="73" spans="61:70" x14ac:dyDescent="0.3">
      <c r="BI73">
        <v>4437.5</v>
      </c>
      <c r="BJ73">
        <v>17998.771333587902</v>
      </c>
      <c r="BQ73">
        <v>4437.5</v>
      </c>
      <c r="BR73">
        <v>18810.602289017021</v>
      </c>
    </row>
    <row r="74" spans="61:70" x14ac:dyDescent="0.3">
      <c r="BI74">
        <v>4500</v>
      </c>
      <c r="BJ74">
        <v>18176.936954129465</v>
      </c>
      <c r="BQ74">
        <v>4500</v>
      </c>
      <c r="BR74">
        <v>18940.490276913097</v>
      </c>
    </row>
    <row r="75" spans="61:70" x14ac:dyDescent="0.3">
      <c r="BI75">
        <v>4562.5</v>
      </c>
      <c r="BJ75">
        <v>18355.016727775936</v>
      </c>
      <c r="BQ75">
        <v>4562.5</v>
      </c>
      <c r="BR75">
        <v>19069.85615259211</v>
      </c>
    </row>
    <row r="76" spans="61:70" x14ac:dyDescent="0.3">
      <c r="BI76">
        <v>4625</v>
      </c>
      <c r="BJ76">
        <v>18533.013962642406</v>
      </c>
      <c r="BQ76">
        <v>4625</v>
      </c>
      <c r="BR76">
        <v>19198.716622498825</v>
      </c>
    </row>
    <row r="77" spans="61:70" x14ac:dyDescent="0.3">
      <c r="BI77">
        <v>4687.5</v>
      </c>
      <c r="BJ77">
        <v>18710.931799028367</v>
      </c>
      <c r="BQ77">
        <v>4687.5</v>
      </c>
      <c r="BR77">
        <v>19327.087687840616</v>
      </c>
    </row>
    <row r="78" spans="61:70" x14ac:dyDescent="0.3">
      <c r="BI78">
        <v>4750</v>
      </c>
      <c r="BJ78">
        <v>18888.773219925715</v>
      </c>
      <c r="BQ78">
        <v>4750</v>
      </c>
      <c r="BR78">
        <v>19454.984681412003</v>
      </c>
    </row>
    <row r="79" spans="61:70" x14ac:dyDescent="0.3">
      <c r="BI79">
        <v>4812.5</v>
      </c>
      <c r="BJ79">
        <v>19066.54106074696</v>
      </c>
      <c r="BQ79">
        <v>4812.5</v>
      </c>
      <c r="BR79">
        <v>19582.422302135659</v>
      </c>
    </row>
    <row r="80" spans="61:70" x14ac:dyDescent="0.3">
      <c r="BI80">
        <v>4875</v>
      </c>
      <c r="BJ80">
        <v>19244.238018340347</v>
      </c>
      <c r="BQ80">
        <v>4875</v>
      </c>
      <c r="BR80">
        <v>19709.414647483398</v>
      </c>
    </row>
    <row r="81" spans="61:70" x14ac:dyDescent="0.3">
      <c r="BI81">
        <v>4937.5</v>
      </c>
      <c r="BJ81">
        <v>19421.866659352094</v>
      </c>
      <c r="BQ81">
        <v>4937.5</v>
      </c>
      <c r="BR81">
        <v>19835.975243927387</v>
      </c>
    </row>
    <row r="82" spans="61:70" x14ac:dyDescent="0.3">
      <c r="BI82">
        <v>5000</v>
      </c>
      <c r="BJ82">
        <v>19599.429427990246</v>
      </c>
      <c r="BQ82">
        <v>5000</v>
      </c>
      <c r="BR82">
        <v>19962.117075559843</v>
      </c>
    </row>
  </sheetData>
  <mergeCells count="9">
    <mergeCell ref="A7:B7"/>
    <mergeCell ref="A8:B8"/>
    <mergeCell ref="A9:B9"/>
    <mergeCell ref="A1:B1"/>
    <mergeCell ref="A2:B2"/>
    <mergeCell ref="A3:B3"/>
    <mergeCell ref="A4:B4"/>
    <mergeCell ref="A5:B5"/>
    <mergeCell ref="A6:B6"/>
  </mergeCells>
  <hyperlinks>
    <hyperlink ref="A4" location="Compare!A4" tooltip="Base CPU (idle): Custo mínimo sem carga relevante" display="Base CPU (idle)" xr:uid="{4099B0CE-E9CD-44D8-9E74-9C1F6C7EA120}"/>
    <hyperlink ref="A5" location="Compare!A5" tooltip="Marginal CPU (L): Custo adicional por TPS em regime estável" display="Marginal CPU (L)" xr:uid="{4CEECF4A-395E-4B7C-9BD1-37E9C2FF5B34}"/>
    <hyperlink ref="A6" location="Compare!A6" tooltip="Transient overhead (extra): Sobrecusto adicional por TPS predominante em cargas baixas, mas que amortiza com cargas maiores." display="Transient overhead (extra)" xr:uid="{9D62FB07-834C-41AA-93DD-6578BBA6A4E2}"/>
    <hyperlink ref="A7" location="Compare!A7" tooltip="Overhead half-saturation const. (k): Velocidade com que o sobrecusto é amortizado." display="Overhead half-saturation const. (k)" xr:uid="{2C0E7993-4E72-458B-9DF6-40CAC35F3757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Y7DWLDJ4EKLNA7LDVZD3G54L24KNHCSC:ms-officescript%3A%2F%2Fonedrive_business_sharinglink%2Fu!aHR0cHM6Ly9wdHBvcnR1Z2FsLW15LnNoYXJlcG9pbnQuY29tLzp1Oi9nL3BlcnNvbmFsL2xlYW5kcm8tZS1zaWx2YV90ZWxlY29tX3B0L0lRQThJcGJRZldPdVI3TjNpOWNVMDRwQ0FaU216ZjktVEJuMTlTMTlNSk1qMW00"/>
  <scriptId xmlns="" id="ms-officescript%3A%2F%2Fonedrive_business_itemlink%2F01Y7DWLDP2LD2O2ZOUBNFYUBQD74T2MCHO:ms-officescript%3A%2F%2Fonedrive_business_sharinglink%2Fu!aHR0cHM6Ly9wdHBvcnR1Z2FsLW15LnNoYXJlcG9pbnQuY29tLzp1Oi9nL3BlcnNvbmFsL2xlYW5kcm8tZS1zaWx2YV90ZWxlY29tX3B0L0lRRDZXUFR0WmRRTFM0b0dBXzhucGdqdUFWbFgzcDlkT0JzZmh0bVZnQVAtbjJR"/>
  <scriptId xmlns="" id="ms-officescript%3A%2F%2Fonedrive_business_itemlink%2F01Y7DWLDOT5SWKWR4PFFAJEIUFRWSEUMOP:ms-officescript%3A%2F%2Fonedrive_business_sharinglink%2Fu!aHR0cHM6Ly9wdHBvcnR1Z2FsLW15LnNoYXJlcG9pbnQuY29tLzp1Oi9nL3BlcnNvbmFsL2xlYW5kcm8tZS1zaWx2YV90ZWxlY29tX3B0L0lRRFQ3S3lyUjQ4cFFKSWloWTJrU2pIUEFWTGhCZExqME5TVVJxZ3VqVlk5WHlj"/>
</scriptIds>
</file>

<file path=customXml/itemProps1.xml><?xml version="1.0" encoding="utf-8"?>
<ds:datastoreItem xmlns:ds="http://schemas.openxmlformats.org/officeDocument/2006/customXml" ds:itemID="{4738D0A4-B4C1-409F-9033-40B30EB4D201}">
  <ds:schemaRefs>
    <ds:schemaRef ds:uri="http://schemas.microsoft.com/office/extensibility/maker/v1.0"/>
    <ds:schemaRef ds:uri=""/>
  </ds:schemaRefs>
</ds:datastoreItem>
</file>

<file path=docMetadata/LabelInfo.xml><?xml version="1.0" encoding="utf-8"?>
<clbl:labelList xmlns:clbl="http://schemas.microsoft.com/office/2020/mipLabelMetadata">
  <clbl:label id="{9acd2dbd-ad97-4768-9854-5e28ec55fc41}" enabled="0" method="" siteId="{9acd2dbd-ad97-4768-9854-5e28ec55fc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Misc.</vt:lpstr>
      <vt:lpstr>Core_mCPU</vt:lpstr>
      <vt:lpstr>Memory_MB</vt:lpstr>
      <vt:lpstr>Throttle_%</vt:lpstr>
      <vt:lpstr>Regression</vt:lpstr>
      <vt:lpstr>Compare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Leandro Emanuel Soares Alves Da Silva</cp:lastModifiedBy>
  <cp:revision/>
  <dcterms:created xsi:type="dcterms:W3CDTF">2026-06-18T07:19:44Z</dcterms:created>
  <dcterms:modified xsi:type="dcterms:W3CDTF">2026-07-01T08:49:32Z</dcterms:modified>
  <cp:category/>
  <cp:contentStatus/>
</cp:coreProperties>
</file>